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IN\Desktop\"/>
    </mc:Choice>
  </mc:AlternateContent>
  <xr:revisionPtr revIDLastSave="0" documentId="13_ncr:1_{6EB0B425-8C45-4475-BF6C-F488C696DDCB}" xr6:coauthVersionLast="47" xr6:coauthVersionMax="47" xr10:uidLastSave="{00000000-0000-0000-0000-000000000000}"/>
  <bookViews>
    <workbookView xWindow="-108" yWindow="-108" windowWidth="23256" windowHeight="13176" activeTab="3" xr2:uid="{EA3F2782-2302-4284-8B19-2879753F7493}"/>
  </bookViews>
  <sheets>
    <sheet name="RAW DATA" sheetId="2" r:id="rId1"/>
    <sheet name="CASH FLOW" sheetId="4" r:id="rId2"/>
    <sheet name="PIVOT TABLE" sheetId="3" r:id="rId3"/>
    <sheet name="DASHBOARD" sheetId="5" r:id="rId4"/>
  </sheets>
  <definedNames>
    <definedName name="_xlnm._FilterDatabase" localSheetId="0" hidden="1">'RAW DATA'!$A$1:$H$91</definedName>
    <definedName name="NativeTimeline_DATE">#N/A</definedName>
    <definedName name="Slicer_CATEGORY">#N/A</definedName>
    <definedName name="Slicer_DATE">#N/A</definedName>
    <definedName name="Slicer_PRICE_RANG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4" i="4" l="1"/>
  <c r="E13" i="4"/>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2" i="2"/>
  <c r="B14" i="4"/>
  <c r="B13" i="4"/>
  <c r="B12" i="4"/>
  <c r="B11" i="4"/>
  <c r="B10" i="4"/>
  <c r="B9" i="4"/>
  <c r="B8" i="4"/>
  <c r="B7" i="4"/>
  <c r="E6" i="4"/>
  <c r="B6" i="4"/>
  <c r="B5" i="4"/>
  <c r="H4" i="4"/>
  <c r="B4" i="4"/>
  <c r="H3" i="4"/>
  <c r="H5" i="4" s="1"/>
  <c r="B3" i="4"/>
  <c r="H2" i="4"/>
  <c r="B2" i="4"/>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H2" i="2"/>
  <c r="H3" i="2" s="1"/>
  <c r="H4" i="2" s="1"/>
  <c r="H5" i="2" s="1"/>
  <c r="H6" i="2" s="1"/>
  <c r="H7" i="2" s="1"/>
  <c r="H8" i="2" s="1"/>
  <c r="H9" i="2" s="1"/>
  <c r="H10" i="2" s="1"/>
  <c r="H11" i="2" s="1"/>
  <c r="H12" i="2" s="1"/>
  <c r="H13" i="2" s="1"/>
  <c r="H14" i="2" s="1"/>
  <c r="H15" i="2" s="1"/>
  <c r="H16" i="2" s="1"/>
  <c r="H17" i="2" s="1"/>
  <c r="H18" i="2" s="1"/>
  <c r="H19" i="2" s="1"/>
  <c r="H20" i="2" s="1"/>
  <c r="H21" i="2" s="1"/>
  <c r="H22" i="2" s="1"/>
  <c r="H23" i="2" s="1"/>
  <c r="H24" i="2" s="1"/>
  <c r="H25" i="2" s="1"/>
  <c r="H26" i="2" s="1"/>
  <c r="H27" i="2" s="1"/>
  <c r="H28" i="2" s="1"/>
  <c r="H29" i="2" s="1"/>
  <c r="H30" i="2" s="1"/>
  <c r="H31" i="2" s="1"/>
  <c r="H32" i="2" s="1"/>
  <c r="H33" i="2" s="1"/>
  <c r="H34" i="2" s="1"/>
  <c r="H35" i="2" s="1"/>
  <c r="H36" i="2" s="1"/>
  <c r="H37" i="2" s="1"/>
  <c r="H38" i="2" s="1"/>
  <c r="H39" i="2" s="1"/>
  <c r="H40" i="2" s="1"/>
  <c r="H41" i="2" s="1"/>
  <c r="H42" i="2" s="1"/>
  <c r="H43" i="2" s="1"/>
  <c r="H44" i="2" s="1"/>
  <c r="H45" i="2" s="1"/>
  <c r="H46" i="2" s="1"/>
  <c r="H47" i="2" s="1"/>
  <c r="H48" i="2" s="1"/>
  <c r="H49" i="2" s="1"/>
  <c r="H50" i="2" s="1"/>
  <c r="H51" i="2" s="1"/>
  <c r="H52" i="2" s="1"/>
  <c r="H53" i="2" s="1"/>
  <c r="H54" i="2" s="1"/>
  <c r="H55" i="2" s="1"/>
  <c r="H56" i="2" s="1"/>
  <c r="H57" i="2" s="1"/>
  <c r="H58" i="2" s="1"/>
  <c r="H59" i="2" s="1"/>
  <c r="H60" i="2" s="1"/>
  <c r="H61" i="2" s="1"/>
  <c r="H62" i="2" s="1"/>
  <c r="H63" i="2" s="1"/>
  <c r="H64" i="2" s="1"/>
  <c r="H65" i="2" s="1"/>
  <c r="H66" i="2" s="1"/>
  <c r="H67" i="2" s="1"/>
  <c r="H68" i="2" s="1"/>
  <c r="H69" i="2" s="1"/>
  <c r="H70" i="2" s="1"/>
  <c r="H71" i="2" s="1"/>
  <c r="H72" i="2" s="1"/>
  <c r="H73" i="2" s="1"/>
  <c r="H74" i="2" s="1"/>
  <c r="H75" i="2" s="1"/>
  <c r="H76" i="2" s="1"/>
  <c r="H77" i="2" s="1"/>
  <c r="H78" i="2" s="1"/>
  <c r="H79" i="2" s="1"/>
  <c r="H80" i="2" s="1"/>
  <c r="H81" i="2" s="1"/>
  <c r="H82" i="2" s="1"/>
  <c r="H83" i="2" s="1"/>
  <c r="H84" i="2" s="1"/>
  <c r="H85" i="2" s="1"/>
  <c r="H86" i="2" s="1"/>
  <c r="H87" i="2" s="1"/>
  <c r="H88" i="2" s="1"/>
  <c r="H89" i="2" s="1"/>
  <c r="H90" i="2" s="1"/>
  <c r="H91" i="2" s="1"/>
  <c r="H92" i="2" s="1"/>
  <c r="H93" i="2" s="1"/>
  <c r="B2" i="2"/>
</calcChain>
</file>

<file path=xl/sharedStrings.xml><?xml version="1.0" encoding="utf-8"?>
<sst xmlns="http://schemas.openxmlformats.org/spreadsheetml/2006/main" count="475" uniqueCount="56">
  <si>
    <t>NO.</t>
  </si>
  <si>
    <t>DATE</t>
  </si>
  <si>
    <t>CATEGORY</t>
  </si>
  <si>
    <t>NAME</t>
  </si>
  <si>
    <t>AMOUNT</t>
  </si>
  <si>
    <t>RECEIPT (Y/N)</t>
  </si>
  <si>
    <t>CUMSUM</t>
  </si>
  <si>
    <t>IN (RM)</t>
  </si>
  <si>
    <t>BALANCE</t>
  </si>
  <si>
    <t>USED</t>
  </si>
  <si>
    <t>TOTAL (RM)</t>
  </si>
  <si>
    <t>\</t>
  </si>
  <si>
    <t>MINYAK</t>
  </si>
  <si>
    <t>AMOUNT IN</t>
  </si>
  <si>
    <t>AMOUNT TAKEN</t>
  </si>
  <si>
    <t>BALANCE DAILY</t>
  </si>
  <si>
    <t>BARANG</t>
  </si>
  <si>
    <t>MAINTENANCE</t>
  </si>
  <si>
    <t xml:space="preserve">                                                </t>
  </si>
  <si>
    <t>OFFICE</t>
  </si>
  <si>
    <t xml:space="preserve"> </t>
  </si>
  <si>
    <t>MAKAN</t>
  </si>
  <si>
    <t xml:space="preserve">  </t>
  </si>
  <si>
    <t>WORKER 1</t>
  </si>
  <si>
    <t xml:space="preserve">WORKER 2 </t>
  </si>
  <si>
    <t>WORKER 2</t>
  </si>
  <si>
    <t>WORKER 3</t>
  </si>
  <si>
    <t>WORKER 4</t>
  </si>
  <si>
    <t>WORKER 5</t>
  </si>
  <si>
    <t>WORKER 6</t>
  </si>
  <si>
    <t>WORKER 7</t>
  </si>
  <si>
    <t>WORKER 8</t>
  </si>
  <si>
    <t>WORKER 9</t>
  </si>
  <si>
    <t>WORKER 10</t>
  </si>
  <si>
    <t>WORKER 11</t>
  </si>
  <si>
    <t>WORKER 12</t>
  </si>
  <si>
    <t>WORKER 13</t>
  </si>
  <si>
    <t xml:space="preserve">WORKER 14 </t>
  </si>
  <si>
    <t>WORKER 14</t>
  </si>
  <si>
    <t>WORKER 15</t>
  </si>
  <si>
    <t>WORKER 16</t>
  </si>
  <si>
    <t>WORKER 17</t>
  </si>
  <si>
    <t>WORKER 18</t>
  </si>
  <si>
    <t>WORKER 19</t>
  </si>
  <si>
    <t>WORKER 20</t>
  </si>
  <si>
    <t xml:space="preserve">WORKER 6 </t>
  </si>
  <si>
    <t>Row Labels</t>
  </si>
  <si>
    <t>Grand Total</t>
  </si>
  <si>
    <t>Sum of AMOUNT</t>
  </si>
  <si>
    <t>KASARAN</t>
  </si>
  <si>
    <t>PIVOT TABLE</t>
  </si>
  <si>
    <t>Percentage</t>
  </si>
  <si>
    <t>TOTAL EXPENDITURE</t>
  </si>
  <si>
    <t>LAIN-LAIN</t>
  </si>
  <si>
    <t>PRICE RANGE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</si>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</sst>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_-[$RM-4409]* #,##0.00_-;\-[$RM-4409]* #,##0.00_-;_-[$RM-4409]* &quot;-&quot;??_-;_-@_-"/>
    <numFmt numFmtId="166" formatCode="_-[$RM-43E]* #,##0.00_-;\-[$RM-43E]* #,##0.00_-;_-[$RM-43E]* &quot;-&quot;??_-;_-@_-"/>
  </numFmts>
  <fonts count="7" x14ac:knownFonts="1">
    <font>
      <sz val="11"/>
      <color theme="1"/>
      <name val="Aptos Narrow"/>
      <family val="2"/>
      <scheme val="minor"/>
    </font>
    <font>
      <sz val="11"/>
      <color rgb="FF006100"/>
      <name val="Aptos Narrow"/>
      <family val="2"/>
      <scheme val="minor"/>
    </font>
    <font>
      <sz val="11"/>
      <color rgb="FF9C5700"/>
      <name val="Aptos Narrow"/>
      <family val="2"/>
      <scheme val="minor"/>
    </font>
    <font>
      <sz val="11"/>
      <color rgb="FF3F3F76"/>
      <name val="Aptos Narrow"/>
      <family val="2"/>
      <scheme val="minor"/>
    </font>
    <font>
      <b/>
      <sz val="11"/>
      <color theme="1"/>
      <name val="Aptos Narrow"/>
      <family val="2"/>
      <scheme val="minor"/>
    </font>
    <font>
      <b/>
      <sz val="36"/>
      <color theme="1"/>
      <name val="Aptos Narrow"/>
      <family val="2"/>
      <scheme val="minor"/>
    </font>
    <font>
      <b/>
      <sz val="28"/>
      <color theme="1"/>
      <name val="Aptos Narrow"/>
      <family val="2"/>
      <scheme val="minor"/>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4" tint="0.79998168889431442"/>
        <bgColor indexed="64"/>
      </patternFill>
    </fill>
    <fill>
      <patternFill patternType="solid">
        <fgColor theme="4" tint="0.59999389629810485"/>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6">
    <xf numFmtId="0" fontId="0" fillId="0" borderId="0" xfId="0"/>
    <xf numFmtId="0" fontId="4" fillId="0" borderId="0" xfId="0" applyFont="1" applyAlignment="1">
      <alignment horizontal="center" vertical="center"/>
    </xf>
    <xf numFmtId="0" fontId="4" fillId="0" borderId="0" xfId="0" applyFont="1" applyAlignment="1">
      <alignment horizontal="center"/>
    </xf>
    <xf numFmtId="164" fontId="4" fillId="0" borderId="0" xfId="0" applyNumberFormat="1" applyFont="1" applyAlignment="1">
      <alignment horizontal="center"/>
    </xf>
    <xf numFmtId="165" fontId="4" fillId="0" borderId="0" xfId="0" applyNumberFormat="1" applyFont="1" applyAlignment="1">
      <alignment horizontal="center"/>
    </xf>
    <xf numFmtId="164" fontId="4" fillId="0" borderId="0" xfId="0" applyNumberFormat="1" applyFont="1" applyAlignment="1">
      <alignment horizontal="center" vertical="center"/>
    </xf>
    <xf numFmtId="165" fontId="4" fillId="0" borderId="0" xfId="0" applyNumberFormat="1" applyFont="1" applyAlignment="1">
      <alignment horizontal="center" vertical="center"/>
    </xf>
    <xf numFmtId="165" fontId="4" fillId="0" borderId="2" xfId="0" applyNumberFormat="1" applyFont="1" applyBorder="1" applyAlignment="1">
      <alignment horizontal="center" vertical="center"/>
    </xf>
    <xf numFmtId="164" fontId="0" fillId="0" borderId="0" xfId="0" applyNumberFormat="1"/>
    <xf numFmtId="165" fontId="0" fillId="0" borderId="0" xfId="0" applyNumberFormat="1"/>
    <xf numFmtId="0" fontId="4" fillId="0" borderId="3" xfId="0" applyFont="1" applyBorder="1" applyAlignment="1">
      <alignment horizontal="center" vertical="center"/>
    </xf>
    <xf numFmtId="165" fontId="1" fillId="2" borderId="3" xfId="1" applyNumberFormat="1" applyBorder="1" applyAlignment="1">
      <alignment horizontal="center" vertical="center"/>
    </xf>
    <xf numFmtId="165" fontId="2" fillId="3" borderId="3" xfId="2" applyNumberFormat="1" applyBorder="1" applyAlignment="1">
      <alignment horizontal="center" vertical="center"/>
    </xf>
    <xf numFmtId="0" fontId="4" fillId="0" borderId="3" xfId="0" applyFont="1" applyBorder="1" applyAlignment="1">
      <alignment horizontal="center"/>
    </xf>
    <xf numFmtId="165" fontId="0" fillId="5" borderId="3" xfId="0" applyNumberFormat="1" applyFill="1" applyBorder="1"/>
    <xf numFmtId="165" fontId="3" fillId="4" borderId="3" xfId="3" applyNumberFormat="1" applyBorder="1"/>
    <xf numFmtId="0" fontId="0" fillId="0" borderId="0" xfId="0" applyAlignment="1">
      <alignment horizontal="center"/>
      <extLst>
        <ext xmlns:xfpb="http://schemas.microsoft.com/office/spreadsheetml/2022/featurepropertybag" uri="{C7286773-470A-42A8-94C5-96B5CB345126}">
          <xfpb:xfComplement i="0"/>
        </ext>
      </extLst>
    </xf>
    <xf numFmtId="0" fontId="0" fillId="0" borderId="0" xfId="0" pivotButton="1"/>
    <xf numFmtId="0" fontId="0" fillId="0" borderId="0" xfId="0" applyAlignment="1">
      <alignment horizontal="left"/>
    </xf>
    <xf numFmtId="10" fontId="0" fillId="0" borderId="0" xfId="0" applyNumberFormat="1"/>
    <xf numFmtId="0" fontId="4" fillId="0" borderId="0" xfId="0" applyFont="1"/>
    <xf numFmtId="166" fontId="0" fillId="0" borderId="0" xfId="0" applyNumberFormat="1"/>
    <xf numFmtId="14" fontId="0" fillId="0" borderId="0" xfId="0" applyNumberFormat="1" applyAlignment="1">
      <alignment horizontal="left"/>
    </xf>
    <xf numFmtId="0" fontId="5" fillId="6" borderId="0" xfId="0" applyFont="1" applyFill="1" applyAlignment="1">
      <alignment horizontal="center" vertical="center"/>
    </xf>
    <xf numFmtId="165" fontId="0" fillId="0" borderId="0" xfId="0" applyNumberFormat="1" applyFill="1"/>
    <xf numFmtId="0" fontId="6" fillId="6" borderId="0" xfId="0" applyFont="1" applyFill="1" applyAlignment="1">
      <alignment horizontal="center" vertical="center"/>
    </xf>
  </cellXfs>
  <cellStyles count="4">
    <cellStyle name="Good" xfId="1" builtinId="26"/>
    <cellStyle name="Input" xfId="3" builtinId="20"/>
    <cellStyle name="Neutral" xfId="2" builtinId="28"/>
    <cellStyle name="Normal" xfId="0" builtinId="0"/>
  </cellStyles>
  <dxfs count="3">
    <dxf>
      <font>
        <color rgb="FF9C0006"/>
      </font>
      <fill>
        <patternFill>
          <bgColor rgb="FFFFC7CE"/>
        </patternFill>
      </fill>
    </dxf>
    <dxf>
      <numFmt numFmtId="166" formatCode="_-[$RM-43E]* #,##0.00_-;\-[$RM-43E]* #,##0.00_-;_-[$RM-43E]* &quot;-&quot;??_-;_-@_-"/>
    </dxf>
    <dxf>
      <numFmt numFmtId="166" formatCode="_-[$RM-43E]* #,##0.00_-;\-[$RM-43E]* #,##0.00_-;_-[$RM-43E]*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SUMMARY.xlsx]PIVOT TABLE!PivotTable1</c:name>
    <c:fmtId val="22"/>
  </c:pivotSource>
  <c:chart>
    <c:title>
      <c:tx>
        <c:rich>
          <a:bodyPr rot="0" spcFirstLastPara="1" vertOverflow="ellipsis" vert="horz" wrap="square" anchor="ctr" anchorCtr="1"/>
          <a:lstStyle/>
          <a:p>
            <a:pPr>
              <a:defRPr sz="1500" b="1" i="0" u="none" strike="noStrike" kern="1200" cap="all" spc="100" normalizeH="0" baseline="0">
                <a:solidFill>
                  <a:schemeClr val="tx2">
                    <a:lumMod val="90000"/>
                    <a:lumOff val="10000"/>
                  </a:schemeClr>
                </a:solidFill>
                <a:latin typeface="+mn-lt"/>
                <a:ea typeface="+mn-ea"/>
                <a:cs typeface="+mn-cs"/>
              </a:defRPr>
            </a:pPr>
            <a:r>
              <a:rPr lang="en-US">
                <a:solidFill>
                  <a:schemeClr val="tx2">
                    <a:lumMod val="90000"/>
                    <a:lumOff val="10000"/>
                  </a:schemeClr>
                </a:solidFill>
              </a:rPr>
              <a:t>EXPENDITURE DISTRIBUTION BY CATEGORY</a:t>
            </a:r>
          </a:p>
        </c:rich>
      </c:tx>
      <c:layout>
        <c:manualLayout>
          <c:xMode val="edge"/>
          <c:yMode val="edge"/>
          <c:x val="0.11818755665126651"/>
          <c:y val="1.136284934643993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dLbl>
          <c:idx val="0"/>
          <c:layout>
            <c:manualLayout>
              <c:x val="-0.36881460372128783"/>
              <c:y val="1.1732222750631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pivotFmt>
      <c:pivotFmt>
        <c:idx val="26"/>
      </c:pivotFmt>
      <c:pivotFmt>
        <c:idx val="27"/>
        <c:spPr>
          <a:solidFill>
            <a:schemeClr val="lt1"/>
          </a:solidFill>
          <a:ln w="19050">
            <a:solidFill>
              <a:schemeClr val="accent1"/>
            </a:solidFill>
          </a:ln>
          <a:effectLst/>
        </c:spPr>
      </c:pivotFmt>
      <c:pivotFmt>
        <c:idx val="28"/>
        <c:spPr>
          <a:solidFill>
            <a:schemeClr val="lt1"/>
          </a:solidFill>
          <a:ln w="19050">
            <a:solidFill>
              <a:schemeClr val="accent1"/>
            </a:solidFill>
          </a:ln>
          <a:effectLst/>
        </c:spPr>
      </c:pivotFmt>
      <c:pivotFmt>
        <c:idx val="29"/>
        <c:spPr>
          <a:solidFill>
            <a:schemeClr val="lt1"/>
          </a:solidFill>
          <a:ln w="19050">
            <a:solidFill>
              <a:schemeClr val="accent1"/>
            </a:solidFill>
          </a:ln>
          <a:effectLst/>
        </c:spPr>
      </c:pivotFmt>
      <c:pivotFmt>
        <c:idx val="3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21233213848513"/>
          <c:y val="0.24451487284727957"/>
          <c:w val="0.75575335723029746"/>
          <c:h val="0.72351585901994919"/>
        </c:manualLayout>
      </c:layout>
      <c:pieChart>
        <c:varyColors val="0"/>
        <c:ser>
          <c:idx val="0"/>
          <c:order val="0"/>
          <c:tx>
            <c:strRef>
              <c:f>'PIVOT TABLE'!$F$14</c:f>
              <c:strCache>
                <c:ptCount val="1"/>
                <c:pt idx="0">
                  <c:v>Sum of AMOUNT</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EDF-4D3E-963E-38A267246C86}"/>
              </c:ext>
            </c:extLst>
          </c:dPt>
          <c:dPt>
            <c:idx val="1"/>
            <c:bubble3D val="0"/>
            <c:extLst>
              <c:ext xmlns:c16="http://schemas.microsoft.com/office/drawing/2014/chart" uri="{C3380CC4-5D6E-409C-BE32-E72D297353CC}">
                <c16:uniqueId val="{00000003-3EDF-4D3E-963E-38A267246C86}"/>
              </c:ext>
            </c:extLst>
          </c:dPt>
          <c:dPt>
            <c:idx val="2"/>
            <c:bubble3D val="0"/>
            <c:extLst>
              <c:ext xmlns:c16="http://schemas.microsoft.com/office/drawing/2014/chart" uri="{C3380CC4-5D6E-409C-BE32-E72D297353CC}">
                <c16:uniqueId val="{00000005-3EDF-4D3E-963E-38A267246C86}"/>
              </c:ext>
            </c:extLst>
          </c:dPt>
          <c:dPt>
            <c:idx val="3"/>
            <c:bubble3D val="0"/>
            <c:extLst>
              <c:ext xmlns:c16="http://schemas.microsoft.com/office/drawing/2014/chart" uri="{C3380CC4-5D6E-409C-BE32-E72D297353CC}">
                <c16:uniqueId val="{00000007-3EDF-4D3E-963E-38A267246C86}"/>
              </c:ext>
            </c:extLst>
          </c:dPt>
          <c:dPt>
            <c:idx val="4"/>
            <c:bubble3D val="0"/>
            <c:extLst>
              <c:ext xmlns:c16="http://schemas.microsoft.com/office/drawing/2014/chart" uri="{C3380CC4-5D6E-409C-BE32-E72D297353CC}">
                <c16:uniqueId val="{00000009-3EDF-4D3E-963E-38A267246C86}"/>
              </c:ext>
            </c:extLst>
          </c:dPt>
          <c:dPt>
            <c:idx val="5"/>
            <c:bubble3D val="0"/>
            <c:extLst>
              <c:ext xmlns:c16="http://schemas.microsoft.com/office/drawing/2014/chart" uri="{C3380CC4-5D6E-409C-BE32-E72D297353CC}">
                <c16:uniqueId val="{0000000B-3EDF-4D3E-963E-38A267246C86}"/>
              </c:ext>
            </c:extLst>
          </c:dPt>
          <c:dLbls>
            <c:dLbl>
              <c:idx val="0"/>
              <c:layout>
                <c:manualLayout>
                  <c:x val="-0.36881460372128783"/>
                  <c:y val="1.173222275063139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DF-4D3E-963E-38A267246C8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TABLE'!$E$15:$E$21</c:f>
              <c:strCache>
                <c:ptCount val="6"/>
                <c:pt idx="0">
                  <c:v>MAKAN</c:v>
                </c:pt>
                <c:pt idx="1">
                  <c:v>LAIN-LAIN</c:v>
                </c:pt>
                <c:pt idx="2">
                  <c:v>MAINTENANCE</c:v>
                </c:pt>
                <c:pt idx="3">
                  <c:v>BARANG</c:v>
                </c:pt>
                <c:pt idx="4">
                  <c:v>KASARAN</c:v>
                </c:pt>
                <c:pt idx="5">
                  <c:v>MINYAK</c:v>
                </c:pt>
              </c:strCache>
            </c:strRef>
          </c:cat>
          <c:val>
            <c:numRef>
              <c:f>'PIVOT TABLE'!$F$15:$F$21</c:f>
              <c:numCache>
                <c:formatCode>_-[$RM-4409]* #,##0.00_-;\-[$RM-4409]* #,##0.00_-;_-[$RM-4409]* "-"??_-;_-@_-</c:formatCode>
                <c:ptCount val="6"/>
                <c:pt idx="0">
                  <c:v>144.5</c:v>
                </c:pt>
                <c:pt idx="1">
                  <c:v>354.5</c:v>
                </c:pt>
                <c:pt idx="2">
                  <c:v>1302</c:v>
                </c:pt>
                <c:pt idx="3">
                  <c:v>3551.9999999999995</c:v>
                </c:pt>
                <c:pt idx="4">
                  <c:v>8428.5999999999985</c:v>
                </c:pt>
                <c:pt idx="5">
                  <c:v>13153.4</c:v>
                </c:pt>
              </c:numCache>
            </c:numRef>
          </c:val>
          <c:extLst>
            <c:ext xmlns:c16="http://schemas.microsoft.com/office/drawing/2014/chart" uri="{C3380CC4-5D6E-409C-BE32-E72D297353CC}">
              <c16:uniqueId val="{0000000C-3EDF-4D3E-963E-38A267246C86}"/>
            </c:ext>
          </c:extLst>
        </c:ser>
        <c:ser>
          <c:idx val="1"/>
          <c:order val="1"/>
          <c:tx>
            <c:strRef>
              <c:f>'PIVOT TABLE'!$G$14</c:f>
              <c:strCache>
                <c:ptCount val="1"/>
                <c:pt idx="0">
                  <c:v>Percentage</c:v>
                </c:pt>
              </c:strCache>
            </c:strRef>
          </c:tx>
          <c:spPr>
            <a:solidFill>
              <a:schemeClr val="lt1"/>
            </a:solidFill>
            <a:ln w="19050">
              <a:solidFill>
                <a:schemeClr val="accent1"/>
              </a:solidFill>
            </a:ln>
            <a:effectLst/>
          </c:spPr>
          <c:dPt>
            <c:idx val="0"/>
            <c:bubble3D val="0"/>
            <c:extLst>
              <c:ext xmlns:c16="http://schemas.microsoft.com/office/drawing/2014/chart" uri="{C3380CC4-5D6E-409C-BE32-E72D297353CC}">
                <c16:uniqueId val="{0000000E-3EDF-4D3E-963E-38A267246C86}"/>
              </c:ext>
            </c:extLst>
          </c:dPt>
          <c:dPt>
            <c:idx val="1"/>
            <c:bubble3D val="0"/>
            <c:extLst>
              <c:ext xmlns:c16="http://schemas.microsoft.com/office/drawing/2014/chart" uri="{C3380CC4-5D6E-409C-BE32-E72D297353CC}">
                <c16:uniqueId val="{00000010-3EDF-4D3E-963E-38A267246C86}"/>
              </c:ext>
            </c:extLst>
          </c:dPt>
          <c:dPt>
            <c:idx val="2"/>
            <c:bubble3D val="0"/>
            <c:extLst>
              <c:ext xmlns:c16="http://schemas.microsoft.com/office/drawing/2014/chart" uri="{C3380CC4-5D6E-409C-BE32-E72D297353CC}">
                <c16:uniqueId val="{00000012-3EDF-4D3E-963E-38A267246C86}"/>
              </c:ext>
            </c:extLst>
          </c:dPt>
          <c:dPt>
            <c:idx val="3"/>
            <c:bubble3D val="0"/>
            <c:extLst>
              <c:ext xmlns:c16="http://schemas.microsoft.com/office/drawing/2014/chart" uri="{C3380CC4-5D6E-409C-BE32-E72D297353CC}">
                <c16:uniqueId val="{00000014-3EDF-4D3E-963E-38A267246C86}"/>
              </c:ext>
            </c:extLst>
          </c:dPt>
          <c:dPt>
            <c:idx val="4"/>
            <c:bubble3D val="0"/>
            <c:extLst>
              <c:ext xmlns:c16="http://schemas.microsoft.com/office/drawing/2014/chart" uri="{C3380CC4-5D6E-409C-BE32-E72D297353CC}">
                <c16:uniqueId val="{00000016-3EDF-4D3E-963E-38A267246C86}"/>
              </c:ext>
            </c:extLst>
          </c:dPt>
          <c:dPt>
            <c:idx val="5"/>
            <c:bubble3D val="0"/>
            <c:extLst>
              <c:ext xmlns:c16="http://schemas.microsoft.com/office/drawing/2014/chart" uri="{C3380CC4-5D6E-409C-BE32-E72D297353CC}">
                <c16:uniqueId val="{00000018-3EDF-4D3E-963E-38A267246C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TABLE'!$E$15:$E$21</c:f>
              <c:strCache>
                <c:ptCount val="6"/>
                <c:pt idx="0">
                  <c:v>MAKAN</c:v>
                </c:pt>
                <c:pt idx="1">
                  <c:v>LAIN-LAIN</c:v>
                </c:pt>
                <c:pt idx="2">
                  <c:v>MAINTENANCE</c:v>
                </c:pt>
                <c:pt idx="3">
                  <c:v>BARANG</c:v>
                </c:pt>
                <c:pt idx="4">
                  <c:v>KASARAN</c:v>
                </c:pt>
                <c:pt idx="5">
                  <c:v>MINYAK</c:v>
                </c:pt>
              </c:strCache>
            </c:strRef>
          </c:cat>
          <c:val>
            <c:numRef>
              <c:f>'PIVOT TABLE'!$G$15:$G$21</c:f>
              <c:numCache>
                <c:formatCode>0.00%</c:formatCode>
                <c:ptCount val="6"/>
                <c:pt idx="0">
                  <c:v>5.364767031743085E-3</c:v>
                </c:pt>
                <c:pt idx="1">
                  <c:v>1.3161314275106738E-2</c:v>
                </c:pt>
                <c:pt idx="2">
                  <c:v>4.8338592908854651E-2</c:v>
                </c:pt>
                <c:pt idx="3">
                  <c:v>0.13187302765917949</c:v>
                </c:pt>
                <c:pt idx="4">
                  <c:v>0.31292370521626134</c:v>
                </c:pt>
                <c:pt idx="5">
                  <c:v>0.48833859290885462</c:v>
                </c:pt>
              </c:numCache>
            </c:numRef>
          </c:val>
          <c:extLst>
            <c:ext xmlns:c16="http://schemas.microsoft.com/office/drawing/2014/chart" uri="{C3380CC4-5D6E-409C-BE32-E72D297353CC}">
              <c16:uniqueId val="{00000019-3EDF-4D3E-963E-38A267246C86}"/>
            </c:ext>
          </c:extLst>
        </c:ser>
        <c:dLbls>
          <c:dLblPos val="bestFit"/>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[PROJECT SUMMARY.xlsx]PIVOT TABLE!PivotTable3</c:name>
    <c:fmtId val="50"/>
  </c:pivotSource>
  <c:chart>
    <c:title>
      <c:tx>
        <c:rich>
          <a:bodyPr rot="0" spcFirstLastPara="1" vertOverflow="ellipsis" vert="horz" wrap="square" anchor="ctr" anchorCtr="1"/>
          <a:lstStyle/>
          <a:p>
            <a:pPr>
              <a:defRPr sz="1800" b="0" i="0" u="none" strike="noStrike" kern="1200" cap="none" spc="20" baseline="0">
                <a:solidFill>
                  <a:schemeClr val="tx2">
                    <a:lumMod val="90000"/>
                    <a:lumOff val="10000"/>
                  </a:schemeClr>
                </a:solidFill>
                <a:latin typeface="+mn-lt"/>
                <a:ea typeface="+mn-ea"/>
                <a:cs typeface="+mn-cs"/>
              </a:defRPr>
            </a:pPr>
            <a:r>
              <a:rPr lang="en-GB" sz="1800" b="1" i="0" u="none" strike="noStrike" cap="none" baseline="0">
                <a:solidFill>
                  <a:schemeClr val="tx2">
                    <a:lumMod val="90000"/>
                    <a:lumOff val="10000"/>
                  </a:schemeClr>
                </a:solidFill>
              </a:rPr>
              <a:t>WORKER CLAIM LEADERBOARD</a:t>
            </a:r>
            <a:endParaRPr lang="en-GB" sz="18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2">
                  <a:lumMod val="90000"/>
                  <a:lumOff val="10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897F45B3-24B3-4C19-9537-C9E297A44060}" type="VALUE">
                  <a:rPr lang="en-US">
                    <a:solidFill>
                      <a:schemeClr val="tx2">
                        <a:lumMod val="75000"/>
                        <a:lumOff val="25000"/>
                      </a:schemeClr>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 TABLE'!$C$5:$C$6</c:f>
              <c:strCache>
                <c:ptCount val="1"/>
                <c:pt idx="0">
                  <c:v>MAKAN</c:v>
                </c:pt>
              </c:strCache>
            </c:strRef>
          </c:tx>
          <c:spPr>
            <a:gradFill rotWithShape="1">
              <a:gsLst>
                <a:gs pos="0">
                  <a:schemeClr val="accent4">
                    <a:tint val="50000"/>
                    <a:lumMod val="110000"/>
                    <a:satMod val="105000"/>
                    <a:tint val="67000"/>
                  </a:schemeClr>
                </a:gs>
                <a:gs pos="50000">
                  <a:schemeClr val="accent4">
                    <a:tint val="50000"/>
                    <a:lumMod val="105000"/>
                    <a:satMod val="103000"/>
                    <a:tint val="73000"/>
                  </a:schemeClr>
                </a:gs>
                <a:gs pos="100000">
                  <a:schemeClr val="accent4">
                    <a:tint val="50000"/>
                    <a:lumMod val="105000"/>
                    <a:satMod val="109000"/>
                    <a:tint val="81000"/>
                  </a:schemeClr>
                </a:gs>
              </a:gsLst>
              <a:lin ang="5400000" scaled="0"/>
            </a:gradFill>
            <a:ln w="9525" cap="flat" cmpd="sng" algn="ctr">
              <a:solidFill>
                <a:schemeClr val="accent4">
                  <a:tint val="5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WORKER 10</c:v>
                </c:pt>
                <c:pt idx="1">
                  <c:v>WORKER 11</c:v>
                </c:pt>
                <c:pt idx="2">
                  <c:v>WORKER 4</c:v>
                </c:pt>
                <c:pt idx="3">
                  <c:v>WORKER 6</c:v>
                </c:pt>
                <c:pt idx="4">
                  <c:v>WORKER 9</c:v>
                </c:pt>
              </c:strCache>
            </c:strRef>
          </c:cat>
          <c:val>
            <c:numRef>
              <c:f>'PIVOT TABLE'!$C$7:$C$12</c:f>
              <c:numCache>
                <c:formatCode>_-[$RM-4409]* #,##0.00_-;\-[$RM-4409]* #,##0.00_-;_-[$RM-4409]* "-"??_-;_-@_-</c:formatCode>
                <c:ptCount val="5"/>
                <c:pt idx="2">
                  <c:v>66</c:v>
                </c:pt>
              </c:numCache>
            </c:numRef>
          </c:val>
          <c:extLst>
            <c:ext xmlns:c16="http://schemas.microsoft.com/office/drawing/2014/chart" uri="{C3380CC4-5D6E-409C-BE32-E72D297353CC}">
              <c16:uniqueId val="{00000000-25E8-4420-AB44-E3F8D0AA5C64}"/>
            </c:ext>
          </c:extLst>
        </c:ser>
        <c:ser>
          <c:idx val="1"/>
          <c:order val="1"/>
          <c:tx>
            <c:strRef>
              <c:f>'PIVOT TABLE'!$D$5:$D$6</c:f>
              <c:strCache>
                <c:ptCount val="1"/>
                <c:pt idx="0">
                  <c:v>LAIN-LAIN</c:v>
                </c:pt>
              </c:strCache>
            </c:strRef>
          </c:tx>
          <c:spPr>
            <a:gradFill rotWithShape="1">
              <a:gsLst>
                <a:gs pos="0">
                  <a:schemeClr val="accent4">
                    <a:tint val="70000"/>
                    <a:lumMod val="110000"/>
                    <a:satMod val="105000"/>
                    <a:tint val="67000"/>
                  </a:schemeClr>
                </a:gs>
                <a:gs pos="50000">
                  <a:schemeClr val="accent4">
                    <a:tint val="70000"/>
                    <a:lumMod val="105000"/>
                    <a:satMod val="103000"/>
                    <a:tint val="73000"/>
                  </a:schemeClr>
                </a:gs>
                <a:gs pos="100000">
                  <a:schemeClr val="accent4">
                    <a:tint val="70000"/>
                    <a:lumMod val="105000"/>
                    <a:satMod val="109000"/>
                    <a:tint val="81000"/>
                  </a:schemeClr>
                </a:gs>
              </a:gsLst>
              <a:lin ang="5400000" scaled="0"/>
            </a:gradFill>
            <a:ln w="9525" cap="flat" cmpd="sng" algn="ctr">
              <a:solidFill>
                <a:schemeClr val="accent4">
                  <a:tint val="7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WORKER 10</c:v>
                </c:pt>
                <c:pt idx="1">
                  <c:v>WORKER 11</c:v>
                </c:pt>
                <c:pt idx="2">
                  <c:v>WORKER 4</c:v>
                </c:pt>
                <c:pt idx="3">
                  <c:v>WORKER 6</c:v>
                </c:pt>
                <c:pt idx="4">
                  <c:v>WORKER 9</c:v>
                </c:pt>
              </c:strCache>
            </c:strRef>
          </c:cat>
          <c:val>
            <c:numRef>
              <c:f>'PIVOT TABLE'!$D$7:$D$12</c:f>
              <c:numCache>
                <c:formatCode>_-[$RM-4409]* #,##0.00_-;\-[$RM-4409]* #,##0.00_-;_-[$RM-4409]* "-"??_-;_-@_-</c:formatCode>
                <c:ptCount val="5"/>
                <c:pt idx="4">
                  <c:v>100</c:v>
                </c:pt>
              </c:numCache>
            </c:numRef>
          </c:val>
          <c:extLst>
            <c:ext xmlns:c16="http://schemas.microsoft.com/office/drawing/2014/chart" uri="{C3380CC4-5D6E-409C-BE32-E72D297353CC}">
              <c16:uniqueId val="{00000008-25E8-4420-AB44-E3F8D0AA5C64}"/>
            </c:ext>
          </c:extLst>
        </c:ser>
        <c:ser>
          <c:idx val="2"/>
          <c:order val="2"/>
          <c:tx>
            <c:strRef>
              <c:f>'PIVOT TABLE'!$E$5:$E$6</c:f>
              <c:strCache>
                <c:ptCount val="1"/>
                <c:pt idx="0">
                  <c:v>MAINTENANCE</c:v>
                </c:pt>
              </c:strCache>
            </c:strRef>
          </c:tx>
          <c:spPr>
            <a:gradFill rotWithShape="1">
              <a:gsLst>
                <a:gs pos="0">
                  <a:schemeClr val="accent4">
                    <a:tint val="90000"/>
                    <a:lumMod val="110000"/>
                    <a:satMod val="105000"/>
                    <a:tint val="67000"/>
                  </a:schemeClr>
                </a:gs>
                <a:gs pos="50000">
                  <a:schemeClr val="accent4">
                    <a:tint val="90000"/>
                    <a:lumMod val="105000"/>
                    <a:satMod val="103000"/>
                    <a:tint val="73000"/>
                  </a:schemeClr>
                </a:gs>
                <a:gs pos="100000">
                  <a:schemeClr val="accent4">
                    <a:tint val="90000"/>
                    <a:lumMod val="105000"/>
                    <a:satMod val="109000"/>
                    <a:tint val="81000"/>
                  </a:schemeClr>
                </a:gs>
              </a:gsLst>
              <a:lin ang="5400000" scaled="0"/>
            </a:gradFill>
            <a:ln w="9525" cap="flat" cmpd="sng" algn="ctr">
              <a:solidFill>
                <a:schemeClr val="accent4">
                  <a:tint val="9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WORKER 10</c:v>
                </c:pt>
                <c:pt idx="1">
                  <c:v>WORKER 11</c:v>
                </c:pt>
                <c:pt idx="2">
                  <c:v>WORKER 4</c:v>
                </c:pt>
                <c:pt idx="3">
                  <c:v>WORKER 6</c:v>
                </c:pt>
                <c:pt idx="4">
                  <c:v>WORKER 9</c:v>
                </c:pt>
              </c:strCache>
            </c:strRef>
          </c:cat>
          <c:val>
            <c:numRef>
              <c:f>'PIVOT TABLE'!$E$7:$E$12</c:f>
              <c:numCache>
                <c:formatCode>_-[$RM-4409]* #,##0.00_-;\-[$RM-4409]* #,##0.00_-;_-[$RM-4409]* "-"??_-;_-@_-</c:formatCode>
                <c:ptCount val="5"/>
                <c:pt idx="1">
                  <c:v>602</c:v>
                </c:pt>
              </c:numCache>
            </c:numRef>
          </c:val>
          <c:extLst>
            <c:ext xmlns:c16="http://schemas.microsoft.com/office/drawing/2014/chart" uri="{C3380CC4-5D6E-409C-BE32-E72D297353CC}">
              <c16:uniqueId val="{00000013-25E8-4420-AB44-E3F8D0AA5C64}"/>
            </c:ext>
          </c:extLst>
        </c:ser>
        <c:ser>
          <c:idx val="3"/>
          <c:order val="3"/>
          <c:tx>
            <c:strRef>
              <c:f>'PIVOT TABLE'!$F$5:$F$6</c:f>
              <c:strCache>
                <c:ptCount val="1"/>
                <c:pt idx="0">
                  <c:v>BARANG</c:v>
                </c:pt>
              </c:strCache>
            </c:strRef>
          </c:tx>
          <c:spPr>
            <a:gradFill rotWithShape="1">
              <a:gsLst>
                <a:gs pos="0">
                  <a:schemeClr val="accent4">
                    <a:shade val="90000"/>
                    <a:lumMod val="110000"/>
                    <a:satMod val="105000"/>
                    <a:tint val="67000"/>
                  </a:schemeClr>
                </a:gs>
                <a:gs pos="50000">
                  <a:schemeClr val="accent4">
                    <a:shade val="90000"/>
                    <a:lumMod val="105000"/>
                    <a:satMod val="103000"/>
                    <a:tint val="73000"/>
                  </a:schemeClr>
                </a:gs>
                <a:gs pos="100000">
                  <a:schemeClr val="accent4">
                    <a:shade val="90000"/>
                    <a:lumMod val="105000"/>
                    <a:satMod val="109000"/>
                    <a:tint val="81000"/>
                  </a:schemeClr>
                </a:gs>
              </a:gsLst>
              <a:lin ang="5400000" scaled="0"/>
            </a:gradFill>
            <a:ln w="9525" cap="flat" cmpd="sng" algn="ctr">
              <a:solidFill>
                <a:schemeClr val="accent4">
                  <a:shade val="9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WORKER 10</c:v>
                </c:pt>
                <c:pt idx="1">
                  <c:v>WORKER 11</c:v>
                </c:pt>
                <c:pt idx="2">
                  <c:v>WORKER 4</c:v>
                </c:pt>
                <c:pt idx="3">
                  <c:v>WORKER 6</c:v>
                </c:pt>
                <c:pt idx="4">
                  <c:v>WORKER 9</c:v>
                </c:pt>
              </c:strCache>
            </c:strRef>
          </c:cat>
          <c:val>
            <c:numRef>
              <c:f>'PIVOT TABLE'!$F$7:$F$12</c:f>
              <c:numCache>
                <c:formatCode>_-[$RM-4409]* #,##0.00_-;\-[$RM-4409]* #,##0.00_-;_-[$RM-4409]* "-"??_-;_-@_-</c:formatCode>
                <c:ptCount val="5"/>
                <c:pt idx="0">
                  <c:v>727.6</c:v>
                </c:pt>
                <c:pt idx="1">
                  <c:v>450.8</c:v>
                </c:pt>
                <c:pt idx="2">
                  <c:v>816.4</c:v>
                </c:pt>
              </c:numCache>
            </c:numRef>
          </c:val>
          <c:extLst>
            <c:ext xmlns:c16="http://schemas.microsoft.com/office/drawing/2014/chart" uri="{C3380CC4-5D6E-409C-BE32-E72D297353CC}">
              <c16:uniqueId val="{00000014-25E8-4420-AB44-E3F8D0AA5C64}"/>
            </c:ext>
          </c:extLst>
        </c:ser>
        <c:ser>
          <c:idx val="4"/>
          <c:order val="4"/>
          <c:tx>
            <c:strRef>
              <c:f>'PIVOT TABLE'!$G$5:$G$6</c:f>
              <c:strCache>
                <c:ptCount val="1"/>
                <c:pt idx="0">
                  <c:v>KASARAN</c:v>
                </c:pt>
              </c:strCache>
            </c:strRef>
          </c:tx>
          <c:spPr>
            <a:gradFill rotWithShape="1">
              <a:gsLst>
                <a:gs pos="0">
                  <a:schemeClr val="accent4">
                    <a:shade val="70000"/>
                    <a:lumMod val="110000"/>
                    <a:satMod val="105000"/>
                    <a:tint val="67000"/>
                  </a:schemeClr>
                </a:gs>
                <a:gs pos="50000">
                  <a:schemeClr val="accent4">
                    <a:shade val="70000"/>
                    <a:lumMod val="105000"/>
                    <a:satMod val="103000"/>
                    <a:tint val="73000"/>
                  </a:schemeClr>
                </a:gs>
                <a:gs pos="100000">
                  <a:schemeClr val="accent4">
                    <a:shade val="70000"/>
                    <a:lumMod val="105000"/>
                    <a:satMod val="109000"/>
                    <a:tint val="81000"/>
                  </a:schemeClr>
                </a:gs>
              </a:gsLst>
              <a:lin ang="5400000" scaled="0"/>
            </a:gradFill>
            <a:ln w="9525" cap="flat" cmpd="sng" algn="ctr">
              <a:solidFill>
                <a:schemeClr val="accent4">
                  <a:shade val="70000"/>
                  <a:shade val="95000"/>
                </a:schemeClr>
              </a:solidFill>
              <a:round/>
            </a:ln>
            <a:effectLst/>
          </c:spPr>
          <c:invertIfNegative val="0"/>
          <c:dPt>
            <c:idx val="4"/>
            <c:invertIfNegative val="0"/>
            <c:bubble3D val="0"/>
            <c:spPr>
              <a:gradFill rotWithShape="1">
                <a:gsLst>
                  <a:gs pos="0">
                    <a:schemeClr val="accent4">
                      <a:shade val="70000"/>
                      <a:lumMod val="110000"/>
                      <a:satMod val="105000"/>
                      <a:tint val="67000"/>
                    </a:schemeClr>
                  </a:gs>
                  <a:gs pos="50000">
                    <a:schemeClr val="accent4">
                      <a:shade val="70000"/>
                      <a:lumMod val="105000"/>
                      <a:satMod val="103000"/>
                      <a:tint val="73000"/>
                    </a:schemeClr>
                  </a:gs>
                  <a:gs pos="100000">
                    <a:schemeClr val="accent4">
                      <a:shade val="70000"/>
                      <a:lumMod val="105000"/>
                      <a:satMod val="109000"/>
                      <a:tint val="81000"/>
                    </a:schemeClr>
                  </a:gs>
                </a:gsLst>
                <a:lin ang="5400000" scaled="0"/>
              </a:gradFill>
              <a:ln w="9525" cap="flat" cmpd="sng" algn="ctr">
                <a:solidFill>
                  <a:schemeClr val="accent4">
                    <a:shade val="70000"/>
                    <a:shade val="95000"/>
                  </a:schemeClr>
                </a:solidFill>
                <a:round/>
              </a:ln>
              <a:effectLst/>
            </c:spPr>
            <c:extLst>
              <c:ext xmlns:c16="http://schemas.microsoft.com/office/drawing/2014/chart" uri="{C3380CC4-5D6E-409C-BE32-E72D297353CC}">
                <c16:uniqueId val="{00000000-55AF-48EE-99B1-9BC066136B98}"/>
              </c:ext>
            </c:extLst>
          </c:dPt>
          <c:dLbls>
            <c:dLbl>
              <c:idx val="4"/>
              <c:tx>
                <c:rich>
                  <a:bodyPr/>
                  <a:lstStyle/>
                  <a:p>
                    <a:fld id="{897F45B3-24B3-4C19-9537-C9E297A44060}" type="VALUE">
                      <a:rPr lang="en-US">
                        <a:solidFill>
                          <a:schemeClr val="tx2">
                            <a:lumMod val="75000"/>
                            <a:lumOff val="25000"/>
                          </a:schemeClr>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5AF-48EE-99B1-9BC066136B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WORKER 10</c:v>
                </c:pt>
                <c:pt idx="1">
                  <c:v>WORKER 11</c:v>
                </c:pt>
                <c:pt idx="2">
                  <c:v>WORKER 4</c:v>
                </c:pt>
                <c:pt idx="3">
                  <c:v>WORKER 6</c:v>
                </c:pt>
                <c:pt idx="4">
                  <c:v>WORKER 9</c:v>
                </c:pt>
              </c:strCache>
            </c:strRef>
          </c:cat>
          <c:val>
            <c:numRef>
              <c:f>'PIVOT TABLE'!$G$7:$G$12</c:f>
              <c:numCache>
                <c:formatCode>_-[$RM-4409]* #,##0.00_-;\-[$RM-4409]* #,##0.00_-;_-[$RM-4409]* "-"??_-;_-@_-</c:formatCode>
                <c:ptCount val="5"/>
                <c:pt idx="2">
                  <c:v>1155.4000000000001</c:v>
                </c:pt>
                <c:pt idx="3">
                  <c:v>891</c:v>
                </c:pt>
                <c:pt idx="4">
                  <c:v>4090</c:v>
                </c:pt>
              </c:numCache>
            </c:numRef>
          </c:val>
          <c:extLst>
            <c:ext xmlns:c16="http://schemas.microsoft.com/office/drawing/2014/chart" uri="{C3380CC4-5D6E-409C-BE32-E72D297353CC}">
              <c16:uniqueId val="{00000015-25E8-4420-AB44-E3F8D0AA5C64}"/>
            </c:ext>
          </c:extLst>
        </c:ser>
        <c:ser>
          <c:idx val="5"/>
          <c:order val="5"/>
          <c:tx>
            <c:strRef>
              <c:f>'PIVOT TABLE'!$H$5:$H$6</c:f>
              <c:strCache>
                <c:ptCount val="1"/>
                <c:pt idx="0">
                  <c:v>MINYAK</c:v>
                </c:pt>
              </c:strCache>
            </c:strRef>
          </c:tx>
          <c:spPr>
            <a:gradFill rotWithShape="1">
              <a:gsLst>
                <a:gs pos="0">
                  <a:schemeClr val="accent4">
                    <a:shade val="50000"/>
                    <a:lumMod val="110000"/>
                    <a:satMod val="105000"/>
                    <a:tint val="67000"/>
                  </a:schemeClr>
                </a:gs>
                <a:gs pos="50000">
                  <a:schemeClr val="accent4">
                    <a:shade val="50000"/>
                    <a:lumMod val="105000"/>
                    <a:satMod val="103000"/>
                    <a:tint val="73000"/>
                  </a:schemeClr>
                </a:gs>
                <a:gs pos="100000">
                  <a:schemeClr val="accent4">
                    <a:shade val="50000"/>
                    <a:lumMod val="105000"/>
                    <a:satMod val="109000"/>
                    <a:tint val="81000"/>
                  </a:schemeClr>
                </a:gs>
              </a:gsLst>
              <a:lin ang="5400000" scaled="0"/>
            </a:gradFill>
            <a:ln w="9525" cap="flat" cmpd="sng" algn="ctr">
              <a:solidFill>
                <a:schemeClr val="accent4">
                  <a:shade val="5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WORKER 10</c:v>
                </c:pt>
                <c:pt idx="1">
                  <c:v>WORKER 11</c:v>
                </c:pt>
                <c:pt idx="2">
                  <c:v>WORKER 4</c:v>
                </c:pt>
                <c:pt idx="3">
                  <c:v>WORKER 6</c:v>
                </c:pt>
                <c:pt idx="4">
                  <c:v>WORKER 9</c:v>
                </c:pt>
              </c:strCache>
            </c:strRef>
          </c:cat>
          <c:val>
            <c:numRef>
              <c:f>'PIVOT TABLE'!$H$7:$H$12</c:f>
              <c:numCache>
                <c:formatCode>_-[$RM-4409]* #,##0.00_-;\-[$RM-4409]* #,##0.00_-;_-[$RM-4409]* "-"??_-;_-@_-</c:formatCode>
                <c:ptCount val="5"/>
                <c:pt idx="0">
                  <c:v>1568</c:v>
                </c:pt>
                <c:pt idx="1">
                  <c:v>1030</c:v>
                </c:pt>
                <c:pt idx="2">
                  <c:v>892.5</c:v>
                </c:pt>
                <c:pt idx="3">
                  <c:v>2056.9</c:v>
                </c:pt>
                <c:pt idx="4">
                  <c:v>820</c:v>
                </c:pt>
              </c:numCache>
            </c:numRef>
          </c:val>
          <c:extLst>
            <c:ext xmlns:c16="http://schemas.microsoft.com/office/drawing/2014/chart" uri="{C3380CC4-5D6E-409C-BE32-E72D297353CC}">
              <c16:uniqueId val="{00000017-25E8-4420-AB44-E3F8D0AA5C64}"/>
            </c:ext>
          </c:extLst>
        </c:ser>
        <c:dLbls>
          <c:dLblPos val="outEnd"/>
          <c:showLegendKey val="0"/>
          <c:showVal val="1"/>
          <c:showCatName val="0"/>
          <c:showSerName val="0"/>
          <c:showPercent val="0"/>
          <c:showBubbleSize val="0"/>
        </c:dLbls>
        <c:gapWidth val="100"/>
        <c:axId val="466261439"/>
        <c:axId val="466263839"/>
      </c:barChart>
      <c:catAx>
        <c:axId val="466261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crossAx val="466263839"/>
        <c:crosses val="autoZero"/>
        <c:auto val="1"/>
        <c:lblAlgn val="ctr"/>
        <c:lblOffset val="100"/>
        <c:noMultiLvlLbl val="0"/>
      </c:catAx>
      <c:valAx>
        <c:axId val="466263839"/>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cap="all" baseline="0">
                    <a:solidFill>
                      <a:schemeClr val="tx2">
                        <a:lumMod val="75000"/>
                        <a:lumOff val="25000"/>
                      </a:schemeClr>
                    </a:solidFill>
                    <a:latin typeface="+mn-lt"/>
                    <a:ea typeface="+mn-ea"/>
                    <a:cs typeface="+mn-cs"/>
                  </a:defRPr>
                </a:pPr>
                <a:r>
                  <a:rPr lang="en-GB" sz="1100" b="1">
                    <a:solidFill>
                      <a:schemeClr val="tx2">
                        <a:lumMod val="75000"/>
                        <a:lumOff val="25000"/>
                      </a:schemeClr>
                    </a:solidFill>
                  </a:rPr>
                  <a:t>EXPENSES</a:t>
                </a:r>
              </a:p>
            </c:rich>
          </c:tx>
          <c:overlay val="0"/>
          <c:spPr>
            <a:noFill/>
            <a:ln>
              <a:noFill/>
            </a:ln>
            <a:effectLst/>
          </c:spPr>
          <c:txPr>
            <a:bodyPr rot="0" spcFirstLastPara="1" vertOverflow="ellipsis" vert="horz" wrap="square" anchor="ctr" anchorCtr="1"/>
            <a:lstStyle/>
            <a:p>
              <a:pPr>
                <a:defRPr sz="1100" b="1" i="0" u="none" strike="noStrike" kern="1200" cap="all" baseline="0">
                  <a:solidFill>
                    <a:schemeClr val="tx2">
                      <a:lumMod val="75000"/>
                      <a:lumOff val="25000"/>
                    </a:schemeClr>
                  </a:solidFill>
                  <a:latin typeface="+mn-lt"/>
                  <a:ea typeface="+mn-ea"/>
                  <a:cs typeface="+mn-cs"/>
                </a:defRPr>
              </a:pPr>
              <a:endParaRPr lang="en-US"/>
            </a:p>
          </c:txPr>
        </c:title>
        <c:numFmt formatCode="_-[$RM-4409]* #,##0.00_-;\-[$RM-4409]* #,##0.00_-;_-[$RM-4409]* &quot;-&quot;??_-;_-@_-" sourceLinked="1"/>
        <c:majorTickMark val="none"/>
        <c:minorTickMark val="none"/>
        <c:tickLblPos val="nextTo"/>
        <c:crossAx val="46626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SUMMARY.xlsx]PIVOT TABLE!PivotTable4</c:name>
    <c:fmtId val="14"/>
  </c:pivotSource>
  <c:chart>
    <c:title>
      <c:tx>
        <c:rich>
          <a:bodyPr rot="0" spcFirstLastPara="1" vertOverflow="ellipsis" vert="horz" wrap="square" anchor="ctr" anchorCtr="1"/>
          <a:lstStyle/>
          <a:p>
            <a:pPr>
              <a:defRPr sz="1500" b="1" i="0" u="none" strike="noStrike" kern="1200" cap="all" spc="100" normalizeH="0" baseline="0">
                <a:solidFill>
                  <a:schemeClr val="tx2">
                    <a:lumMod val="90000"/>
                    <a:lumOff val="10000"/>
                  </a:schemeClr>
                </a:solidFill>
                <a:latin typeface="+mn-lt"/>
                <a:ea typeface="+mn-ea"/>
                <a:cs typeface="+mn-cs"/>
              </a:defRPr>
            </a:pPr>
            <a:r>
              <a:rPr lang="en-US">
                <a:solidFill>
                  <a:schemeClr val="tx2">
                    <a:lumMod val="90000"/>
                    <a:lumOff val="10000"/>
                  </a:schemeClr>
                </a:solidFill>
              </a:rPr>
              <a:t>daily expenditure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TABLE'!$B$15:$B$34</c:f>
              <c:strCache>
                <c:ptCount val="19"/>
                <c:pt idx="0">
                  <c:v>01/03/2026</c:v>
                </c:pt>
                <c:pt idx="1">
                  <c:v>02/03/2026</c:v>
                </c:pt>
                <c:pt idx="2">
                  <c:v>03/03/2026</c:v>
                </c:pt>
                <c:pt idx="3">
                  <c:v>04/03/2026</c:v>
                </c:pt>
                <c:pt idx="4">
                  <c:v>05/03/2026</c:v>
                </c:pt>
                <c:pt idx="5">
                  <c:v>08/03/2026</c:v>
                </c:pt>
                <c:pt idx="6">
                  <c:v>09/03/2026</c:v>
                </c:pt>
                <c:pt idx="7">
                  <c:v>10/03/2026</c:v>
                </c:pt>
                <c:pt idx="8">
                  <c:v>11/03/2026</c:v>
                </c:pt>
                <c:pt idx="9">
                  <c:v>12/03/2026</c:v>
                </c:pt>
                <c:pt idx="10">
                  <c:v>14/03/2026</c:v>
                </c:pt>
                <c:pt idx="11">
                  <c:v>15/03/2026</c:v>
                </c:pt>
                <c:pt idx="12">
                  <c:v>16/03/2026</c:v>
                </c:pt>
                <c:pt idx="13">
                  <c:v>17/03/2026</c:v>
                </c:pt>
                <c:pt idx="14">
                  <c:v>18/03/2026</c:v>
                </c:pt>
                <c:pt idx="15">
                  <c:v>25/03/2026</c:v>
                </c:pt>
                <c:pt idx="16">
                  <c:v>26/03/2026</c:v>
                </c:pt>
                <c:pt idx="17">
                  <c:v>29/03/2026</c:v>
                </c:pt>
                <c:pt idx="18">
                  <c:v>31/03/2026</c:v>
                </c:pt>
              </c:strCache>
            </c:strRef>
          </c:cat>
          <c:val>
            <c:numRef>
              <c:f>'PIVOT TABLE'!$C$15:$C$34</c:f>
              <c:numCache>
                <c:formatCode>General</c:formatCode>
                <c:ptCount val="19"/>
                <c:pt idx="0">
                  <c:v>1325</c:v>
                </c:pt>
                <c:pt idx="1">
                  <c:v>684.6</c:v>
                </c:pt>
                <c:pt idx="2">
                  <c:v>1460.5</c:v>
                </c:pt>
                <c:pt idx="3">
                  <c:v>2289.4</c:v>
                </c:pt>
                <c:pt idx="4">
                  <c:v>1143.5999999999999</c:v>
                </c:pt>
                <c:pt idx="5">
                  <c:v>1306</c:v>
                </c:pt>
                <c:pt idx="6">
                  <c:v>2171.1000000000004</c:v>
                </c:pt>
                <c:pt idx="7">
                  <c:v>769.8</c:v>
                </c:pt>
                <c:pt idx="8">
                  <c:v>2094.4</c:v>
                </c:pt>
                <c:pt idx="9">
                  <c:v>2844.4</c:v>
                </c:pt>
                <c:pt idx="10">
                  <c:v>4.5</c:v>
                </c:pt>
                <c:pt idx="11">
                  <c:v>1333.8</c:v>
                </c:pt>
                <c:pt idx="12">
                  <c:v>1900</c:v>
                </c:pt>
                <c:pt idx="13">
                  <c:v>1306.4000000000001</c:v>
                </c:pt>
                <c:pt idx="14">
                  <c:v>1932.2</c:v>
                </c:pt>
                <c:pt idx="15">
                  <c:v>264.5</c:v>
                </c:pt>
                <c:pt idx="16">
                  <c:v>639</c:v>
                </c:pt>
                <c:pt idx="17">
                  <c:v>1371</c:v>
                </c:pt>
                <c:pt idx="18">
                  <c:v>2094.7999999999997</c:v>
                </c:pt>
              </c:numCache>
            </c:numRef>
          </c:val>
          <c:smooth val="0"/>
          <c:extLst>
            <c:ext xmlns:c16="http://schemas.microsoft.com/office/drawing/2014/chart" uri="{C3380CC4-5D6E-409C-BE32-E72D297353CC}">
              <c16:uniqueId val="{00000000-0EE8-4C78-B87C-98A3FC926C5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68554351"/>
        <c:axId val="268561071"/>
      </c:lineChart>
      <c:catAx>
        <c:axId val="268554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2">
                    <a:lumMod val="90000"/>
                    <a:lumOff val="10000"/>
                  </a:schemeClr>
                </a:solidFill>
                <a:latin typeface="+mn-lt"/>
                <a:ea typeface="+mn-ea"/>
                <a:cs typeface="+mn-cs"/>
              </a:defRPr>
            </a:pPr>
            <a:endParaRPr lang="en-US"/>
          </a:p>
        </c:txPr>
        <c:crossAx val="268561071"/>
        <c:crosses val="autoZero"/>
        <c:auto val="1"/>
        <c:lblAlgn val="ctr"/>
        <c:lblOffset val="100"/>
        <c:noMultiLvlLbl val="0"/>
      </c:catAx>
      <c:valAx>
        <c:axId val="268561071"/>
        <c:scaling>
          <c:orientation val="minMax"/>
        </c:scaling>
        <c:delete val="1"/>
        <c:axPos val="l"/>
        <c:numFmt formatCode="General" sourceLinked="1"/>
        <c:majorTickMark val="none"/>
        <c:minorTickMark val="none"/>
        <c:tickLblPos val="nextTo"/>
        <c:crossAx val="26855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83820</xdr:colOff>
      <xdr:row>2</xdr:row>
      <xdr:rowOff>7620</xdr:rowOff>
    </xdr:from>
    <xdr:to>
      <xdr:col>4</xdr:col>
      <xdr:colOff>7620</xdr:colOff>
      <xdr:row>6</xdr:row>
      <xdr:rowOff>137160</xdr:rowOff>
    </xdr:to>
    <xdr:sp macro="" textlink="'CASH FLOW'!H3">
      <xdr:nvSpPr>
        <xdr:cNvPr id="2" name="Rectangle: Rounded Corners 1">
          <a:extLst>
            <a:ext uri="{FF2B5EF4-FFF2-40B4-BE49-F238E27FC236}">
              <a16:creationId xmlns:a16="http://schemas.microsoft.com/office/drawing/2014/main" id="{57ECF261-4A4D-797F-2685-FDE9A697A2EC}"/>
            </a:ext>
          </a:extLst>
        </xdr:cNvPr>
        <xdr:cNvSpPr/>
      </xdr:nvSpPr>
      <xdr:spPr>
        <a:xfrm>
          <a:off x="83820" y="922020"/>
          <a:ext cx="2362200" cy="861060"/>
        </a:xfrm>
        <a:prstGeom prst="roundRect">
          <a:avLst/>
        </a:prstGeom>
        <a:ln>
          <a:solidFill>
            <a:schemeClr val="bg1"/>
          </a:solidFill>
        </a:ln>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1"/>
              </a:solidFill>
              <a:latin typeface="Aptos Narrow"/>
            </a:rPr>
            <a:t>AMOUNT USED :</a:t>
          </a:r>
        </a:p>
        <a:p>
          <a:pPr algn="l"/>
          <a:fld id="{BADAF3DE-465C-4112-91AA-794C12D5327C}" type="TxLink">
            <a:rPr lang="en-US" sz="1100" b="1" i="0" u="none" strike="noStrike">
              <a:solidFill>
                <a:schemeClr val="bg1"/>
              </a:solidFill>
              <a:latin typeface="Aptos Narrow"/>
            </a:rPr>
            <a:pPr algn="l"/>
            <a:t> RM26,935.00 </a:t>
          </a:fld>
          <a:endParaRPr lang="en-GB" sz="1100" b="1">
            <a:solidFill>
              <a:schemeClr val="bg1"/>
            </a:solidFill>
          </a:endParaRPr>
        </a:p>
      </xdr:txBody>
    </xdr:sp>
    <xdr:clientData/>
  </xdr:twoCellAnchor>
  <xdr:twoCellAnchor>
    <xdr:from>
      <xdr:col>4</xdr:col>
      <xdr:colOff>243840</xdr:colOff>
      <xdr:row>2</xdr:row>
      <xdr:rowOff>13518</xdr:rowOff>
    </xdr:from>
    <xdr:to>
      <xdr:col>8</xdr:col>
      <xdr:colOff>403860</xdr:colOff>
      <xdr:row>6</xdr:row>
      <xdr:rowOff>143058</xdr:rowOff>
    </xdr:to>
    <xdr:sp macro="" textlink="'PIVOT TABLE'!F20">
      <xdr:nvSpPr>
        <xdr:cNvPr id="3" name="Rectangle: Rounded Corners 2">
          <a:extLst>
            <a:ext uri="{FF2B5EF4-FFF2-40B4-BE49-F238E27FC236}">
              <a16:creationId xmlns:a16="http://schemas.microsoft.com/office/drawing/2014/main" id="{1B5C69F2-900E-4FBE-A062-E7411CB3D92A}"/>
            </a:ext>
          </a:extLst>
        </xdr:cNvPr>
        <xdr:cNvSpPr/>
      </xdr:nvSpPr>
      <xdr:spPr>
        <a:xfrm>
          <a:off x="2669130" y="914808"/>
          <a:ext cx="2585311" cy="850573"/>
        </a:xfrm>
        <a:prstGeom prst="roundRect">
          <a:avLst/>
        </a:prstGeom>
        <a:ln>
          <a:solidFill>
            <a:schemeClr val="bg1"/>
          </a:solidFill>
        </a:ln>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1"/>
              </a:solidFill>
              <a:latin typeface="Aptos Narrow"/>
            </a:rPr>
            <a:t>HIGHEST SPENDING</a:t>
          </a:r>
        </a:p>
        <a:p>
          <a:pPr algn="l"/>
          <a:r>
            <a:rPr lang="en-US" sz="1100" b="1" i="0" u="none" strike="noStrike">
              <a:solidFill>
                <a:schemeClr val="bg1"/>
              </a:solidFill>
              <a:latin typeface="Aptos Narrow"/>
            </a:rPr>
            <a:t>CATEGORY:</a:t>
          </a:r>
        </a:p>
        <a:p>
          <a:pPr algn="l"/>
          <a:fld id="{C7BF96C5-E246-4036-96FB-28613686F034}" type="TxLink">
            <a:rPr lang="en-US" sz="1100" b="1" i="0" u="none" strike="noStrike">
              <a:solidFill>
                <a:schemeClr val="bg1"/>
              </a:solidFill>
              <a:latin typeface="Aptos Narrow"/>
            </a:rPr>
            <a:pPr algn="l"/>
            <a:t> RM13,153.40 </a:t>
          </a:fld>
          <a:r>
            <a:rPr lang="en-US" sz="1100" b="1" i="0" u="none" strike="noStrike">
              <a:solidFill>
                <a:schemeClr val="bg1"/>
              </a:solidFill>
              <a:latin typeface="Aptos Narrow"/>
            </a:rPr>
            <a:t>(MINYAK)</a:t>
          </a:r>
          <a:endParaRPr lang="en-US" sz="1100" b="1">
            <a:solidFill>
              <a:schemeClr val="bg1"/>
            </a:solidFill>
          </a:endParaRPr>
        </a:p>
      </xdr:txBody>
    </xdr:sp>
    <xdr:clientData/>
  </xdr:twoCellAnchor>
  <xdr:twoCellAnchor>
    <xdr:from>
      <xdr:col>9</xdr:col>
      <xdr:colOff>15240</xdr:colOff>
      <xdr:row>2</xdr:row>
      <xdr:rowOff>15240</xdr:rowOff>
    </xdr:from>
    <xdr:to>
      <xdr:col>12</xdr:col>
      <xdr:colOff>601980</xdr:colOff>
      <xdr:row>6</xdr:row>
      <xdr:rowOff>144780</xdr:rowOff>
    </xdr:to>
    <xdr:sp macro="" textlink="">
      <xdr:nvSpPr>
        <xdr:cNvPr id="4" name="Rectangle: Rounded Corners 3">
          <a:extLst>
            <a:ext uri="{FF2B5EF4-FFF2-40B4-BE49-F238E27FC236}">
              <a16:creationId xmlns:a16="http://schemas.microsoft.com/office/drawing/2014/main" id="{0563B073-DDB5-4FC6-9FD3-AFB44F9B7259}"/>
            </a:ext>
          </a:extLst>
        </xdr:cNvPr>
        <xdr:cNvSpPr/>
      </xdr:nvSpPr>
      <xdr:spPr>
        <a:xfrm>
          <a:off x="5501640" y="929640"/>
          <a:ext cx="2415540" cy="861060"/>
        </a:xfrm>
        <a:prstGeom prst="roundRect">
          <a:avLst/>
        </a:prstGeom>
        <a:ln>
          <a:solidFill>
            <a:schemeClr val="bg1"/>
          </a:solidFill>
        </a:ln>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t>AVG DAILY SPEND:</a:t>
          </a:r>
        </a:p>
        <a:p>
          <a:pPr algn="l"/>
          <a:r>
            <a:rPr lang="en-GB" sz="1200" b="1"/>
            <a:t>RM868.90</a:t>
          </a:r>
        </a:p>
      </xdr:txBody>
    </xdr:sp>
    <xdr:clientData/>
  </xdr:twoCellAnchor>
  <xdr:twoCellAnchor editAs="oneCell">
    <xdr:from>
      <xdr:col>11</xdr:col>
      <xdr:colOff>297180</xdr:colOff>
      <xdr:row>2</xdr:row>
      <xdr:rowOff>15240</xdr:rowOff>
    </xdr:from>
    <xdr:to>
      <xdr:col>12</xdr:col>
      <xdr:colOff>601980</xdr:colOff>
      <xdr:row>7</xdr:row>
      <xdr:rowOff>15240</xdr:rowOff>
    </xdr:to>
    <xdr:pic>
      <xdr:nvPicPr>
        <xdr:cNvPr id="6" name="Graphic 5" descr="Bar chart outline">
          <a:extLst>
            <a:ext uri="{FF2B5EF4-FFF2-40B4-BE49-F238E27FC236}">
              <a16:creationId xmlns:a16="http://schemas.microsoft.com/office/drawing/2014/main" id="{A11C5D79-2D6A-F08B-5FBC-5DAF3B29E3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02780" y="929640"/>
          <a:ext cx="914400" cy="914400"/>
        </a:xfrm>
        <a:prstGeom prst="rect">
          <a:avLst/>
        </a:prstGeom>
      </xdr:spPr>
    </xdr:pic>
    <xdr:clientData/>
  </xdr:twoCellAnchor>
  <xdr:twoCellAnchor editAs="oneCell">
    <xdr:from>
      <xdr:col>2</xdr:col>
      <xdr:colOff>317640</xdr:colOff>
      <xdr:row>2</xdr:row>
      <xdr:rowOff>50940</xdr:rowOff>
    </xdr:from>
    <xdr:to>
      <xdr:col>3</xdr:col>
      <xdr:colOff>518160</xdr:colOff>
      <xdr:row>6</xdr:row>
      <xdr:rowOff>129540</xdr:rowOff>
    </xdr:to>
    <xdr:pic>
      <xdr:nvPicPr>
        <xdr:cNvPr id="8" name="Graphic 7" descr="Calculator outline">
          <a:extLst>
            <a:ext uri="{FF2B5EF4-FFF2-40B4-BE49-F238E27FC236}">
              <a16:creationId xmlns:a16="http://schemas.microsoft.com/office/drawing/2014/main" id="{DF52303D-8E81-4070-8C75-C05E606F813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36840" y="965340"/>
          <a:ext cx="810120" cy="810120"/>
        </a:xfrm>
        <a:prstGeom prst="rect">
          <a:avLst/>
        </a:prstGeom>
      </xdr:spPr>
    </xdr:pic>
    <xdr:clientData/>
  </xdr:twoCellAnchor>
  <xdr:twoCellAnchor editAs="oneCell">
    <xdr:from>
      <xdr:col>7</xdr:col>
      <xdr:colOff>117120</xdr:colOff>
      <xdr:row>2</xdr:row>
      <xdr:rowOff>101880</xdr:rowOff>
    </xdr:from>
    <xdr:to>
      <xdr:col>8</xdr:col>
      <xdr:colOff>251460</xdr:colOff>
      <xdr:row>6</xdr:row>
      <xdr:rowOff>114300</xdr:rowOff>
    </xdr:to>
    <xdr:pic>
      <xdr:nvPicPr>
        <xdr:cNvPr id="10" name="Graphic 9" descr="Cement truck outline">
          <a:extLst>
            <a:ext uri="{FF2B5EF4-FFF2-40B4-BE49-F238E27FC236}">
              <a16:creationId xmlns:a16="http://schemas.microsoft.com/office/drawing/2014/main" id="{EF0138E2-3734-EFDC-AB54-B9569B16EE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84320" y="1016280"/>
          <a:ext cx="743940" cy="743940"/>
        </a:xfrm>
        <a:prstGeom prst="rect">
          <a:avLst/>
        </a:prstGeom>
      </xdr:spPr>
    </xdr:pic>
    <xdr:clientData/>
  </xdr:twoCellAnchor>
  <xdr:twoCellAnchor>
    <xdr:from>
      <xdr:col>0</xdr:col>
      <xdr:colOff>114302</xdr:colOff>
      <xdr:row>7</xdr:row>
      <xdr:rowOff>121920</xdr:rowOff>
    </xdr:from>
    <xdr:to>
      <xdr:col>5</xdr:col>
      <xdr:colOff>429382</xdr:colOff>
      <xdr:row>27</xdr:row>
      <xdr:rowOff>175260</xdr:rowOff>
    </xdr:to>
    <xdr:graphicFrame macro="">
      <xdr:nvGraphicFramePr>
        <xdr:cNvPr id="11" name="Chart 10">
          <a:extLst>
            <a:ext uri="{FF2B5EF4-FFF2-40B4-BE49-F238E27FC236}">
              <a16:creationId xmlns:a16="http://schemas.microsoft.com/office/drawing/2014/main" id="{6445DCCF-EDC8-4D23-A305-0748342A6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24580</xdr:colOff>
      <xdr:row>28</xdr:row>
      <xdr:rowOff>23599</xdr:rowOff>
    </xdr:from>
    <xdr:to>
      <xdr:col>17</xdr:col>
      <xdr:colOff>598129</xdr:colOff>
      <xdr:row>39</xdr:row>
      <xdr:rowOff>76938</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3A04B59D-8D71-8E81-D222-8086C1AC5C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18896" y="5825494"/>
              <a:ext cx="3033338" cy="21120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5899</xdr:colOff>
      <xdr:row>2</xdr:row>
      <xdr:rowOff>39248</xdr:rowOff>
    </xdr:from>
    <xdr:to>
      <xdr:col>17</xdr:col>
      <xdr:colOff>577399</xdr:colOff>
      <xdr:row>9</xdr:row>
      <xdr:rowOff>115448</xdr:rowOff>
    </xdr:to>
    <mc:AlternateContent xmlns:mc="http://schemas.openxmlformats.org/markup-compatibility/2006" xmlns:tsle="http://schemas.microsoft.com/office/drawing/2012/timeslicer">
      <mc:Choice Requires="tsle">
        <xdr:graphicFrame macro="">
          <xdr:nvGraphicFramePr>
            <xdr:cNvPr id="19" name="DATE 1">
              <a:extLst>
                <a:ext uri="{FF2B5EF4-FFF2-40B4-BE49-F238E27FC236}">
                  <a16:creationId xmlns:a16="http://schemas.microsoft.com/office/drawing/2014/main" id="{798AD322-C1E9-4718-821E-D1AEFAA3375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000215" y="975037"/>
              <a:ext cx="3031289" cy="138630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13</xdr:col>
      <xdr:colOff>29905</xdr:colOff>
      <xdr:row>39</xdr:row>
      <xdr:rowOff>105943</xdr:rowOff>
    </xdr:from>
    <xdr:to>
      <xdr:col>18</xdr:col>
      <xdr:colOff>0</xdr:colOff>
      <xdr:row>46</xdr:row>
      <xdr:rowOff>78084</xdr:rowOff>
    </xdr:to>
    <mc:AlternateContent xmlns:mc="http://schemas.openxmlformats.org/markup-compatibility/2006" xmlns:a14="http://schemas.microsoft.com/office/drawing/2010/main">
      <mc:Choice Requires="a14">
        <xdr:graphicFrame macro="">
          <xdr:nvGraphicFramePr>
            <xdr:cNvPr id="21" name="PRICE RANGE">
              <a:extLst>
                <a:ext uri="{FF2B5EF4-FFF2-40B4-BE49-F238E27FC236}">
                  <a16:creationId xmlns:a16="http://schemas.microsoft.com/office/drawing/2014/main" id="{DF891B77-BC8C-5333-5A68-A13B860B33A4}"/>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8024221" y="7966575"/>
              <a:ext cx="3044832" cy="12822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459619</xdr:colOff>
      <xdr:row>7</xdr:row>
      <xdr:rowOff>115660</xdr:rowOff>
    </xdr:from>
    <xdr:to>
      <xdr:col>12</xdr:col>
      <xdr:colOff>591913</xdr:colOff>
      <xdr:row>27</xdr:row>
      <xdr:rowOff>176892</xdr:rowOff>
    </xdr:to>
    <xdr:graphicFrame macro="">
      <xdr:nvGraphicFramePr>
        <xdr:cNvPr id="5" name="Chart 4">
          <a:extLst>
            <a:ext uri="{FF2B5EF4-FFF2-40B4-BE49-F238E27FC236}">
              <a16:creationId xmlns:a16="http://schemas.microsoft.com/office/drawing/2014/main" id="{491E96DC-998B-4232-802A-C85B6A962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122902</xdr:colOff>
      <xdr:row>28</xdr:row>
      <xdr:rowOff>24581</xdr:rowOff>
    </xdr:from>
    <xdr:to>
      <xdr:col>12</xdr:col>
      <xdr:colOff>589934</xdr:colOff>
      <xdr:row>46</xdr:row>
      <xdr:rowOff>98323</xdr:rowOff>
    </xdr:to>
    <xdr:graphicFrame macro="">
      <xdr:nvGraphicFramePr>
        <xdr:cNvPr id="12" name="Chart 11">
          <a:extLst>
            <a:ext uri="{FF2B5EF4-FFF2-40B4-BE49-F238E27FC236}">
              <a16:creationId xmlns:a16="http://schemas.microsoft.com/office/drawing/2014/main" id="{1D1CB236-321E-4E4F-A7F5-3F90DB32D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14091</xdr:colOff>
      <xdr:row>9</xdr:row>
      <xdr:rowOff>165346</xdr:rowOff>
    </xdr:from>
    <xdr:to>
      <xdr:col>17</xdr:col>
      <xdr:colOff>589934</xdr:colOff>
      <xdr:row>28</xdr:row>
      <xdr:rowOff>0</xdr:rowOff>
    </xdr:to>
    <mc:AlternateContent xmlns:mc="http://schemas.openxmlformats.org/markup-compatibility/2006" xmlns:a14="http://schemas.microsoft.com/office/drawing/2010/main">
      <mc:Choice Requires="a14">
        <xdr:graphicFrame macro="">
          <xdr:nvGraphicFramePr>
            <xdr:cNvPr id="13" name="DATE">
              <a:extLst>
                <a:ext uri="{FF2B5EF4-FFF2-40B4-BE49-F238E27FC236}">
                  <a16:creationId xmlns:a16="http://schemas.microsoft.com/office/drawing/2014/main" id="{3E4002E7-812F-882C-50F4-38B943F779A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008407" y="2411241"/>
              <a:ext cx="3035632" cy="3390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N" refreshedDate="46137.37240497685" createdVersion="8" refreshedVersion="8" minRefreshableVersion="3" recordCount="141" xr:uid="{BE612E43-381D-4AA9-929A-8E7CAF99A316}">
  <cacheSource type="worksheet">
    <worksheetSource ref="A1:XFD1048576" sheet="RAW DATA"/>
  </cacheSource>
  <cacheFields count="16384">
    <cacheField name="NO." numFmtId="0">
      <sharedItems containsString="0" containsBlank="1" containsNumber="1" containsInteger="1" minValue="1" maxValue="138"/>
    </cacheField>
    <cacheField name="DATE" numFmtId="164">
      <sharedItems containsNonDate="0" containsDate="1" containsString="0" containsBlank="1" minDate="2026-03-01T00:00:00" maxDate="2026-04-01T00:00:00" count="20">
        <d v="2026-03-01T00:00:00"/>
        <d v="2026-03-02T00:00:00"/>
        <d v="2026-03-03T00:00:00"/>
        <d v="2026-03-04T00:00:00"/>
        <d v="2026-03-05T00:00:00"/>
        <d v="2026-03-08T00:00:00"/>
        <d v="2026-03-09T00:00:00"/>
        <d v="2026-03-10T00:00:00"/>
        <d v="2026-03-11T00:00:00"/>
        <d v="2026-03-12T00:00:00"/>
        <d v="2026-03-14T00:00:00"/>
        <d v="2026-03-15T00:00:00"/>
        <d v="2026-03-16T00:00:00"/>
        <d v="2026-03-17T00:00:00"/>
        <d v="2026-03-18T00:00:00"/>
        <d v="2026-03-25T00:00:00"/>
        <d v="2026-03-26T00:00:00"/>
        <d v="2026-03-29T00:00:00"/>
        <d v="2026-03-31T00:00:00"/>
        <m/>
      </sharedItems>
    </cacheField>
    <cacheField name="NAME" numFmtId="0">
      <sharedItems containsBlank="1" count="25">
        <s v="WORKER 1"/>
        <s v="WORKER 2"/>
        <s v="WORKER 3"/>
        <s v="WORKER 4"/>
        <s v="WORKER 5"/>
        <s v="WORKER 6"/>
        <s v="WORKER 7"/>
        <s v="WORKER 8"/>
        <s v="WORKER 9"/>
        <s v="WORKER 10"/>
        <s v="WORKER 11"/>
        <s v="WORKER 2 "/>
        <s v="WORKER 12"/>
        <s v="WORKER 13"/>
        <s v="WORKER 14"/>
        <s v="OFFICE"/>
        <s v="WORKER 15"/>
        <s v="WORKER 16"/>
        <s v="WORKER 17"/>
        <s v="WORKER 18"/>
        <s v="WORKER 14 "/>
        <s v="WORKER 6 "/>
        <s v="WORKER 19"/>
        <s v="WORKER 20"/>
        <m/>
      </sharedItems>
    </cacheField>
    <cacheField name="AMOUNT" numFmtId="165">
      <sharedItems containsString="0" containsBlank="1" containsNumber="1" minValue="1.1000000000000001" maxValue="1350"/>
    </cacheField>
    <cacheField name="PRICE RANGE" numFmtId="0">
      <sharedItems containsBlank="1"/>
    </cacheField>
    <cacheField name="RECEIPT (Y/N)" numFmtId="0">
      <sharedItems containsBlank="1"/>
    </cacheField>
    <cacheField name="CATEGORY" numFmtId="0">
      <sharedItems containsBlank="1"/>
    </cacheField>
    <cacheField name="CUMSUM" numFmtId="0">
      <sharedItems containsString="0" containsBlank="1" containsNumber="1" minValue="100" maxValue="26935"/>
    </cacheField>
    <cacheField name="Field9" caption="Field9" numFmtId="0">
      <sharedItems containsNonDate="0" containsString="0" containsBlank="1"/>
    </cacheField>
    <cacheField name="Field10" caption="Field10" numFmtId="0">
      <sharedItems containsNonDate="0" containsString="0" containsBlank="1"/>
    </cacheField>
    <cacheField name="Field11" caption="Field11" numFmtId="164">
      <sharedItems containsNonDate="0" containsString="0" containsBlank="1"/>
    </cacheField>
    <cacheField name="Field12" caption="Field12" numFmtId="165">
      <sharedItems containsBlank="1"/>
    </cacheField>
    <cacheField name="Field13" caption="Field13" numFmtId="165">
      <sharedItems containsNonDate="0" containsString="0" containsBlank="1"/>
    </cacheField>
    <cacheField name="Field14" caption="Field14" numFmtId="165">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pivotCacheId="4088315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N" refreshedDate="46137.372425462963" createdVersion="8" refreshedVersion="8" minRefreshableVersion="3" recordCount="138" xr:uid="{0808172D-9FE9-494B-A126-0F1D0F04069B}">
  <cacheSource type="worksheet">
    <worksheetSource ref="A1:H139" sheet="RAW DATA"/>
  </cacheSource>
  <cacheFields count="8">
    <cacheField name="NO." numFmtId="0">
      <sharedItems containsSemiMixedTypes="0" containsString="0" containsNumber="1" containsInteger="1" minValue="1" maxValue="138"/>
    </cacheField>
    <cacheField name="DATE" numFmtId="164">
      <sharedItems containsSemiMixedTypes="0" containsNonDate="0" containsDate="1" containsString="0" minDate="2026-03-01T00:00:00" maxDate="2026-04-01T00:00:00" count="19">
        <d v="2026-03-01T00:00:00"/>
        <d v="2026-03-02T00:00:00"/>
        <d v="2026-03-03T00:00:00"/>
        <d v="2026-03-04T00:00:00"/>
        <d v="2026-03-05T00:00:00"/>
        <d v="2026-03-08T00:00:00"/>
        <d v="2026-03-09T00:00:00"/>
        <d v="2026-03-10T00:00:00"/>
        <d v="2026-03-11T00:00:00"/>
        <d v="2026-03-12T00:00:00"/>
        <d v="2026-03-14T00:00:00"/>
        <d v="2026-03-15T00:00:00"/>
        <d v="2026-03-16T00:00:00"/>
        <d v="2026-03-17T00:00:00"/>
        <d v="2026-03-18T00:00:00"/>
        <d v="2026-03-25T00:00:00"/>
        <d v="2026-03-26T00:00:00"/>
        <d v="2026-03-29T00:00:00"/>
        <d v="2026-03-31T00:00:00"/>
      </sharedItems>
    </cacheField>
    <cacheField name="NAME" numFmtId="0">
      <sharedItems count="24">
        <s v="WORKER 1"/>
        <s v="WORKER 2"/>
        <s v="WORKER 3"/>
        <s v="WORKER 4"/>
        <s v="WORKER 5"/>
        <s v="WORKER 6"/>
        <s v="WORKER 7"/>
        <s v="WORKER 8"/>
        <s v="WORKER 9"/>
        <s v="WORKER 10"/>
        <s v="WORKER 11"/>
        <s v="WORKER 2 "/>
        <s v="WORKER 12"/>
        <s v="WORKER 13"/>
        <s v="WORKER 14"/>
        <s v="OFFICE"/>
        <s v="WORKER 15"/>
        <s v="WORKER 16"/>
        <s v="WORKER 17"/>
        <s v="WORKER 18"/>
        <s v="WORKER 14 "/>
        <s v="WORKER 6 "/>
        <s v="WORKER 19"/>
        <s v="WORKER 20"/>
      </sharedItems>
    </cacheField>
    <cacheField name="AMOUNT" numFmtId="165">
      <sharedItems containsSemiMixedTypes="0" containsString="0" containsNumber="1" minValue="1.1000000000000001" maxValue="1350"/>
    </cacheField>
    <cacheField name="PRICE RANGE" numFmtId="0">
      <sharedItems count="3">
        <s v="RM 51 - RM 100"/>
        <s v="Above RM 100"/>
        <s v="RM 0 - RM50"/>
      </sharedItems>
    </cacheField>
    <cacheField name="RECEIPT (Y/N)" numFmtId="0">
      <sharedItems/>
    </cacheField>
    <cacheField name="CATEGORY" numFmtId="0">
      <sharedItems containsBlank="1" count="11">
        <s v="MINYAK"/>
        <s v="KASARAN"/>
        <s v="BARANG"/>
        <s v="LAIN-LAIN"/>
        <s v="MAKAN"/>
        <s v="MAINTENANCE"/>
        <s v="TAYAR" u="1"/>
        <s v="TANAH" u="1"/>
        <s v="TAR" u="1"/>
        <m u="1"/>
        <s v="PASIR" u="1"/>
      </sharedItems>
    </cacheField>
    <cacheField name="CUMSUM" numFmtId="165">
      <sharedItems containsSemiMixedTypes="0" containsString="0" containsNumber="1" minValue="100" maxValue="26935"/>
    </cacheField>
  </cacheFields>
  <extLst>
    <ext xmlns:x14="http://schemas.microsoft.com/office/spreadsheetml/2009/9/main" uri="{725AE2AE-9491-48be-B2B4-4EB974FC3084}">
      <x14:pivotCacheDefinition pivotCacheId="635359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n v="1"/>
    <x v="0"/>
    <x v="0"/>
    <n v="100"/>
    <s v="RM 51 - RM 100"/>
    <s v="\"/>
    <s v="MINYAK"/>
    <n v="1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
    <x v="0"/>
    <x v="1"/>
    <n v="200"/>
    <s v="Above RM 100"/>
    <s v="\"/>
    <s v="MINYAK"/>
    <n v="3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
    <x v="0"/>
    <x v="2"/>
    <n v="100"/>
    <s v="RM 51 - RM 100"/>
    <s v="\"/>
    <s v="MINYAK"/>
    <n v="4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
    <x v="0"/>
    <x v="3"/>
    <n v="501"/>
    <s v="Above RM 100"/>
    <s v="\"/>
    <s v="KASARAN"/>
    <n v="9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
    <x v="0"/>
    <x v="4"/>
    <n v="14"/>
    <s v="RM 0 - RM50"/>
    <s v="\"/>
    <s v="BARANG"/>
    <n v="91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
    <x v="0"/>
    <x v="5"/>
    <n v="210"/>
    <s v="Above RM 100"/>
    <s v="\"/>
    <s v="MINYAK"/>
    <n v="11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
    <x v="0"/>
    <x v="5"/>
    <n v="200"/>
    <s v="Above RM 100"/>
    <s v="\"/>
    <s v="MINYAK"/>
    <n v="13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
    <x v="1"/>
    <x v="0"/>
    <n v="200"/>
    <s v="Above RM 100"/>
    <s v="\"/>
    <s v="MINYAK"/>
    <n v="15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
    <x v="1"/>
    <x v="6"/>
    <n v="181"/>
    <s v="Above RM 100"/>
    <s v="\"/>
    <s v="MINYAK"/>
    <n v="170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
    <x v="1"/>
    <x v="3"/>
    <n v="100"/>
    <s v="RM 51 - RM 100"/>
    <s v="\"/>
    <s v="MINYAK"/>
    <n v="180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
    <x v="1"/>
    <x v="7"/>
    <n v="100"/>
    <s v="RM 51 - RM 100"/>
    <s v="\"/>
    <s v="MINYAK"/>
    <n v="190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
    <x v="1"/>
    <x v="8"/>
    <n v="50"/>
    <s v="RM 0 - RM50"/>
    <s v="\"/>
    <s v="MINYAK"/>
    <n v="195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
    <x v="1"/>
    <x v="2"/>
    <n v="32"/>
    <s v="RM 0 - RM50"/>
    <s v="\"/>
    <s v="MINYAK"/>
    <n v="198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4"/>
    <x v="1"/>
    <x v="9"/>
    <n v="21.6"/>
    <s v="RM 0 - RM50"/>
    <s v="\"/>
    <s v="BARANG"/>
    <n v="2009.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5"/>
    <x v="2"/>
    <x v="7"/>
    <n v="541"/>
    <s v="Above RM 100"/>
    <s v="\"/>
    <s v="KASARAN"/>
    <n v="2550.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6"/>
    <x v="2"/>
    <x v="10"/>
    <n v="526"/>
    <s v="Above RM 100"/>
    <s v="\"/>
    <s v="MINYAK"/>
    <n v="3076.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7"/>
    <x v="2"/>
    <x v="8"/>
    <n v="100"/>
    <s v="RM 51 - RM 100"/>
    <s v="\"/>
    <s v="MINYAK"/>
    <n v="3176.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8"/>
    <x v="2"/>
    <x v="11"/>
    <n v="193.5"/>
    <s v="Above RM 100"/>
    <s v="\"/>
    <s v="MINYAK"/>
    <n v="337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9"/>
    <x v="2"/>
    <x v="12"/>
    <n v="100"/>
    <s v="RM 51 - RM 100"/>
    <s v="\"/>
    <s v="MINYAK"/>
    <n v="347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0"/>
    <x v="3"/>
    <x v="7"/>
    <n v="532"/>
    <s v="Above RM 100"/>
    <s v="\"/>
    <s v="KASARAN"/>
    <n v="4002.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1"/>
    <x v="3"/>
    <x v="8"/>
    <n v="100"/>
    <s v="RM 51 - RM 100"/>
    <s v="\"/>
    <s v="LAIN-LAIN"/>
    <n v="4102.100000000000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2"/>
    <x v="3"/>
    <x v="13"/>
    <n v="165"/>
    <s v="Above RM 100"/>
    <s v="\"/>
    <s v="MINYAK"/>
    <n v="4267.100000000000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3"/>
    <x v="3"/>
    <x v="14"/>
    <n v="150"/>
    <s v="Above RM 100"/>
    <s v="\"/>
    <s v="MINYAK"/>
    <n v="4417.100000000000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4"/>
    <x v="3"/>
    <x v="15"/>
    <n v="4.4000000000000004"/>
    <s v="RM 0 - RM50"/>
    <s v="\"/>
    <s v="BARANG"/>
    <n v="4421.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5"/>
    <x v="3"/>
    <x v="5"/>
    <n v="200"/>
    <s v="Above RM 100"/>
    <s v="\"/>
    <s v="MINYAK"/>
    <n v="4621.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6"/>
    <x v="3"/>
    <x v="5"/>
    <n v="100"/>
    <s v="RM 51 - RM 100"/>
    <s v="\"/>
    <s v="MINYAK"/>
    <n v="4721.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7"/>
    <x v="3"/>
    <x v="6"/>
    <n v="50"/>
    <s v="RM 0 - RM50"/>
    <s v="\"/>
    <s v="MINYAK"/>
    <n v="4771.5"/>
    <m/>
    <m/>
    <m/>
    <s v="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8"/>
    <x v="3"/>
    <x v="9"/>
    <n v="198"/>
    <s v="Above RM 100"/>
    <s v="\"/>
    <s v="BARANG"/>
    <n v="4969.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9"/>
    <x v="3"/>
    <x v="9"/>
    <n v="508"/>
    <s v="Above RM 100"/>
    <s v="\"/>
    <s v="BARANG"/>
    <n v="547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0"/>
    <x v="3"/>
    <x v="1"/>
    <n v="282"/>
    <s v="Above RM 100"/>
    <s v="\"/>
    <s v="MINYAK"/>
    <n v="5759.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1"/>
    <x v="4"/>
    <x v="10"/>
    <n v="244"/>
    <s v="Above RM 100"/>
    <s v="\"/>
    <s v="MINYAK"/>
    <n v="600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2"/>
    <x v="4"/>
    <x v="2"/>
    <n v="100"/>
    <s v="RM 51 - RM 100"/>
    <s v="\"/>
    <s v="MINYAK"/>
    <n v="610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3"/>
    <x v="4"/>
    <x v="15"/>
    <n v="4"/>
    <s v="RM 0 - RM50"/>
    <s v="\"/>
    <s v="BARANG"/>
    <n v="610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4"/>
    <x v="4"/>
    <x v="8"/>
    <n v="100"/>
    <s v="RM 51 - RM 100"/>
    <s v="\"/>
    <s v="MINYAK"/>
    <n v="620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5"/>
    <x v="4"/>
    <x v="16"/>
    <n v="150"/>
    <s v="Above RM 100"/>
    <s v="\"/>
    <s v="LAIN-LAIN"/>
    <n v="635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6"/>
    <x v="4"/>
    <x v="17"/>
    <n v="100"/>
    <s v="RM 51 - RM 100"/>
    <s v="\"/>
    <s v="MINYAK"/>
    <n v="645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7"/>
    <x v="4"/>
    <x v="18"/>
    <n v="200"/>
    <s v="Above RM 100"/>
    <s v="\"/>
    <s v="MINYAK"/>
    <n v="665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8"/>
    <x v="4"/>
    <x v="15"/>
    <n v="18"/>
    <s v="RM 0 - RM50"/>
    <s v="\"/>
    <s v="BARANG"/>
    <n v="6675.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9"/>
    <x v="4"/>
    <x v="6"/>
    <n v="77.599999999999994"/>
    <s v="RM 51 - RM 100"/>
    <s v="\"/>
    <s v="BARANG"/>
    <n v="6753.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0"/>
    <x v="4"/>
    <x v="19"/>
    <n v="150"/>
    <s v="Above RM 100"/>
    <s v="\"/>
    <s v="MINYAK"/>
    <n v="6903.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1"/>
    <x v="5"/>
    <x v="8"/>
    <n v="50"/>
    <s v="RM 0 - RM50"/>
    <s v="\"/>
    <s v="MINYAK"/>
    <n v="6953.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2"/>
    <x v="5"/>
    <x v="8"/>
    <n v="100"/>
    <s v="RM 51 - RM 100"/>
    <s v="\"/>
    <s v="MINYAK"/>
    <n v="7053.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3"/>
    <x v="5"/>
    <x v="0"/>
    <n v="7"/>
    <s v="RM 0 - RM50"/>
    <s v="\"/>
    <s v="BARANG"/>
    <n v="706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4"/>
    <x v="5"/>
    <x v="3"/>
    <n v="150"/>
    <s v="Above RM 100"/>
    <s v="\"/>
    <s v="MINYAK"/>
    <n v="721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5"/>
    <x v="5"/>
    <x v="20"/>
    <n v="150"/>
    <s v="Above RM 100"/>
    <s v="\"/>
    <s v="MINYAK"/>
    <n v="736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6"/>
    <x v="5"/>
    <x v="5"/>
    <n v="50"/>
    <s v="RM 0 - RM50"/>
    <s v="\"/>
    <s v="MINYAK"/>
    <n v="741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7"/>
    <x v="5"/>
    <x v="5"/>
    <n v="250"/>
    <s v="Above RM 100"/>
    <s v="\"/>
    <s v="MINYAK"/>
    <n v="766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8"/>
    <x v="5"/>
    <x v="9"/>
    <n v="495"/>
    <s v="Above RM 100"/>
    <s v="\"/>
    <s v="MINYAK"/>
    <n v="8155.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9"/>
    <x v="5"/>
    <x v="17"/>
    <n v="20"/>
    <s v="RM 0 - RM50"/>
    <s v="\"/>
    <s v="MINYAK"/>
    <n v="8175.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0"/>
    <x v="5"/>
    <x v="6"/>
    <n v="34"/>
    <s v="RM 0 - RM50"/>
    <s v="\"/>
    <s v="BARANG"/>
    <n v="8209.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1"/>
    <x v="6"/>
    <x v="5"/>
    <n v="150"/>
    <s v="Above RM 100"/>
    <s v="\"/>
    <s v="MINYAK"/>
    <n v="8359.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2"/>
    <x v="6"/>
    <x v="6"/>
    <n v="278.2"/>
    <s v="Above RM 100"/>
    <s v="\"/>
    <s v="BARANG"/>
    <n v="8637.300000000001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3"/>
    <x v="6"/>
    <x v="6"/>
    <n v="50"/>
    <s v="RM 0 - RM50"/>
    <s v="\"/>
    <s v="MINYAK"/>
    <n v="8687.3000000000011"/>
    <m/>
    <m/>
    <m/>
    <s v="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4"/>
    <x v="6"/>
    <x v="5"/>
    <n v="891"/>
    <s v="Above RM 100"/>
    <s v="\"/>
    <s v="KASARAN"/>
    <n v="9578.300000000001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5"/>
    <x v="6"/>
    <x v="8"/>
    <n v="100"/>
    <s v="RM 51 - RM 100"/>
    <s v="\"/>
    <s v="MINYAK"/>
    <n v="9678.300000000001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6"/>
    <x v="6"/>
    <x v="15"/>
    <n v="1.9"/>
    <s v="RM 0 - RM50"/>
    <s v="\"/>
    <s v="BARANG"/>
    <n v="9680.200000000000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7"/>
    <x v="6"/>
    <x v="0"/>
    <n v="100"/>
    <s v="RM 51 - RM 100"/>
    <s v="\"/>
    <s v="LAIN-LAIN"/>
    <n v="9780.200000000000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8"/>
    <x v="6"/>
    <x v="13"/>
    <n v="100"/>
    <s v="RM 51 - RM 100"/>
    <s v="\"/>
    <s v="MINYAK"/>
    <n v="9880.200000000000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9"/>
    <x v="6"/>
    <x v="0"/>
    <n v="350"/>
    <s v="Above RM 100"/>
    <s v="\"/>
    <s v="BARANG"/>
    <n v="10230.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0"/>
    <x v="6"/>
    <x v="9"/>
    <n v="150"/>
    <s v="Above RM 100"/>
    <s v="\"/>
    <s v="MINYAK"/>
    <n v="10380.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1"/>
    <x v="7"/>
    <x v="10"/>
    <n v="100"/>
    <s v="RM 51 - RM 100"/>
    <s v="\"/>
    <s v="MINYAK"/>
    <n v="10480.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2"/>
    <x v="7"/>
    <x v="8"/>
    <n v="100"/>
    <s v="RM 51 - RM 100"/>
    <s v="\"/>
    <s v="MINYAK"/>
    <n v="1058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3"/>
    <x v="7"/>
    <x v="3"/>
    <n v="90"/>
    <s v="RM 51 - RM 100"/>
    <s v="\"/>
    <s v="BARANG"/>
    <n v="1067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4"/>
    <x v="7"/>
    <x v="14"/>
    <n v="200"/>
    <s v="Above RM 100"/>
    <s v="\"/>
    <s v="MINYAK"/>
    <n v="1087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5"/>
    <x v="7"/>
    <x v="15"/>
    <n v="29.8"/>
    <s v="RM 0 - RM50"/>
    <s v="\"/>
    <s v="BARANG"/>
    <n v="109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6"/>
    <x v="7"/>
    <x v="5"/>
    <n v="250"/>
    <s v="Above RM 100"/>
    <s v="\"/>
    <s v="MINYAK"/>
    <n v="1115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7"/>
    <x v="8"/>
    <x v="8"/>
    <n v="840"/>
    <s v="Above RM 100"/>
    <s v="\"/>
    <s v="KASARAN"/>
    <n v="1199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8"/>
    <x v="8"/>
    <x v="2"/>
    <n v="100"/>
    <s v="RM 51 - RM 100"/>
    <s v="\"/>
    <s v="MINYAK"/>
    <n v="1209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9"/>
    <x v="8"/>
    <x v="14"/>
    <n v="200"/>
    <s v="Above RM 100"/>
    <s v="\"/>
    <s v="MINYAK"/>
    <n v="1229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0"/>
    <x v="8"/>
    <x v="3"/>
    <n v="654.4"/>
    <s v="Above RM 100"/>
    <s v="\"/>
    <s v="KASARAN"/>
    <n v="12944.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1"/>
    <x v="8"/>
    <x v="0"/>
    <n v="100"/>
    <s v="RM 51 - RM 100"/>
    <s v="\"/>
    <s v="MINYAK"/>
    <n v="13044.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2"/>
    <x v="8"/>
    <x v="0"/>
    <n v="200"/>
    <s v="Above RM 100"/>
    <s v="\"/>
    <s v="MINYAK"/>
    <n v="13244.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3"/>
    <x v="9"/>
    <x v="8"/>
    <n v="1160"/>
    <s v="Above RM 100"/>
    <s v="\"/>
    <s v="KASARAN"/>
    <n v="14404.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4"/>
    <x v="9"/>
    <x v="3"/>
    <n v="66"/>
    <s v="RM 51 - RM 100"/>
    <s v="\"/>
    <s v="MAKAN"/>
    <n v="14470.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5"/>
    <x v="9"/>
    <x v="0"/>
    <n v="78.5"/>
    <s v="RM 51 - RM 100"/>
    <s v="\"/>
    <s v="MAKAN"/>
    <n v="14548.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6"/>
    <x v="9"/>
    <x v="0"/>
    <n v="100"/>
    <s v="RM 51 - RM 100"/>
    <s v="\"/>
    <s v="MINYAK"/>
    <n v="14648.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7"/>
    <x v="9"/>
    <x v="4"/>
    <n v="50"/>
    <s v="RM 0 - RM50"/>
    <s v="\"/>
    <s v="MAINTENANCE"/>
    <n v="14698.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8"/>
    <x v="9"/>
    <x v="5"/>
    <n v="346.9"/>
    <s v="Above RM 100"/>
    <s v="\"/>
    <s v="MINYAK"/>
    <n v="15045.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9"/>
    <x v="9"/>
    <x v="19"/>
    <n v="200"/>
    <s v="Above RM 100"/>
    <s v="\"/>
    <s v="MINYAK"/>
    <n v="15245.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0"/>
    <x v="9"/>
    <x v="2"/>
    <n v="320"/>
    <s v="Above RM 100"/>
    <s v="\"/>
    <s v="BARANG"/>
    <n v="15565.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1"/>
    <x v="9"/>
    <x v="9"/>
    <n v="200"/>
    <s v="Above RM 100"/>
    <s v="\"/>
    <s v="MINYAK"/>
    <n v="15765.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2"/>
    <x v="9"/>
    <x v="9"/>
    <n v="323"/>
    <s v="Above RM 100"/>
    <s v="\"/>
    <s v="MINYAK"/>
    <n v="16088.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3"/>
    <x v="10"/>
    <x v="0"/>
    <n v="4.5"/>
    <s v="RM 0 - RM50"/>
    <s v="\"/>
    <s v="LAIN-LAIN"/>
    <n v="16093.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4"/>
    <x v="11"/>
    <x v="7"/>
    <n v="676.8"/>
    <s v="Above RM 100"/>
    <s v="\"/>
    <s v="KASARAN"/>
    <n v="16770.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5"/>
    <x v="11"/>
    <x v="21"/>
    <n v="200"/>
    <s v="Above RM 100"/>
    <s v="\"/>
    <s v="MINYAK"/>
    <n v="16970.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6"/>
    <x v="11"/>
    <x v="18"/>
    <n v="100"/>
    <s v="RM 51 - RM 100"/>
    <s v="\"/>
    <s v="MINYAK"/>
    <n v="17070.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7"/>
    <x v="11"/>
    <x v="9"/>
    <n v="200"/>
    <s v="Above RM 100"/>
    <s v="\"/>
    <s v="MINYAK"/>
    <n v="17270.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8"/>
    <x v="11"/>
    <x v="8"/>
    <n v="100"/>
    <s v="RM 51 - RM 100"/>
    <s v="\"/>
    <s v="MINYAK"/>
    <n v="17370.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9"/>
    <x v="11"/>
    <x v="13"/>
    <n v="50"/>
    <s v="RM 0 - RM50"/>
    <s v="\"/>
    <s v="MINYAK"/>
    <n v="17420.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0"/>
    <x v="11"/>
    <x v="17"/>
    <n v="7"/>
    <s v="RM 0 - RM50"/>
    <s v="\"/>
    <s v="BARANG"/>
    <n v="17427.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1"/>
    <x v="12"/>
    <x v="10"/>
    <n v="100"/>
    <s v="RM 51 - RM 100"/>
    <s v="\"/>
    <s v="MINYAK"/>
    <n v="17527.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2"/>
    <x v="12"/>
    <x v="16"/>
    <n v="150"/>
    <s v="Above RM 100"/>
    <s v="\"/>
    <s v="MINYAK"/>
    <n v="17677.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3"/>
    <x v="12"/>
    <x v="8"/>
    <n v="1350"/>
    <s v="Above RM 100"/>
    <s v="\"/>
    <s v="KASARAN"/>
    <n v="19027.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4"/>
    <x v="12"/>
    <x v="5"/>
    <n v="200"/>
    <s v="Above RM 100"/>
    <s v="\"/>
    <s v="MINYAK"/>
    <n v="19227.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5"/>
    <x v="12"/>
    <x v="5"/>
    <n v="100"/>
    <s v="RM 51 - RM 100"/>
    <s v="\"/>
    <s v="MINYAK"/>
    <n v="19327.0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6"/>
    <x v="13"/>
    <x v="3"/>
    <n v="112.5"/>
    <s v="Above RM 100"/>
    <s v="\"/>
    <s v="MINYAK"/>
    <n v="19439.5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7"/>
    <x v="13"/>
    <x v="6"/>
    <n v="100"/>
    <s v="RM 51 - RM 100"/>
    <s v="\"/>
    <s v="MINYAK"/>
    <n v="19539.5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8"/>
    <x v="13"/>
    <x v="0"/>
    <n v="542.4"/>
    <s v="Above RM 100"/>
    <s v="\"/>
    <s v="KASARAN"/>
    <n v="2008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9"/>
    <x v="13"/>
    <x v="0"/>
    <n v="100"/>
    <s v="RM 51 - RM 100"/>
    <s v="\"/>
    <s v="MINYAK"/>
    <n v="2018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0"/>
    <x v="13"/>
    <x v="12"/>
    <n v="173"/>
    <s v="Above RM 100"/>
    <s v="\"/>
    <s v="BARANG"/>
    <n v="2035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1"/>
    <x v="13"/>
    <x v="9"/>
    <n v="200"/>
    <s v="Above RM 100"/>
    <s v="\"/>
    <s v="MINYAK"/>
    <n v="2055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2"/>
    <x v="13"/>
    <x v="19"/>
    <n v="50"/>
    <s v="RM 0 - RM50"/>
    <s v="\"/>
    <s v="MINYAK"/>
    <n v="2060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3"/>
    <x v="13"/>
    <x v="19"/>
    <n v="28.5"/>
    <s v="RM 0 - RM50"/>
    <s v="\"/>
    <s v="BARANG"/>
    <n v="2063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4"/>
    <x v="14"/>
    <x v="3"/>
    <n v="726.4"/>
    <s v="Above RM 100"/>
    <s v="\"/>
    <s v="BARANG"/>
    <n v="2135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5"/>
    <x v="14"/>
    <x v="16"/>
    <n v="200"/>
    <s v="Above RM 100"/>
    <s v="\"/>
    <s v="MAINTENANCE"/>
    <n v="2155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6"/>
    <x v="14"/>
    <x v="15"/>
    <n v="1.1000000000000001"/>
    <s v="RM 0 - RM50"/>
    <s v="\"/>
    <s v="BARANG"/>
    <n v="2156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7"/>
    <x v="14"/>
    <x v="15"/>
    <n v="17"/>
    <s v="RM 0 - RM50"/>
    <s v="\"/>
    <s v="BARANG"/>
    <n v="2157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8"/>
    <x v="14"/>
    <x v="8"/>
    <n v="370"/>
    <s v="Above RM 100"/>
    <s v="\"/>
    <s v="KASARAN"/>
    <n v="2194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9"/>
    <x v="14"/>
    <x v="8"/>
    <n v="120"/>
    <s v="Above RM 100"/>
    <s v="\"/>
    <s v="MINYAK"/>
    <n v="2206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0"/>
    <x v="14"/>
    <x v="15"/>
    <n v="3.2"/>
    <s v="RM 0 - RM50"/>
    <s v="\"/>
    <s v="BARANG"/>
    <n v="22071.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1"/>
    <x v="14"/>
    <x v="4"/>
    <n v="50"/>
    <s v="RM 0 - RM50"/>
    <s v="\"/>
    <s v="MINYAK"/>
    <n v="22121.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2"/>
    <x v="14"/>
    <x v="8"/>
    <n v="370"/>
    <s v="Above RM 100"/>
    <s v="\"/>
    <s v="KASARAN"/>
    <n v="22491.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3"/>
    <x v="14"/>
    <x v="10"/>
    <n v="60"/>
    <s v="RM 51 - RM 100"/>
    <s v="\"/>
    <s v="MINYAK"/>
    <n v="22551.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4"/>
    <x v="14"/>
    <x v="15"/>
    <n v="14.5"/>
    <s v="RM 0 - RM50"/>
    <s v="\"/>
    <s v="BARANG"/>
    <n v="22565.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5"/>
    <x v="15"/>
    <x v="3"/>
    <n v="100"/>
    <s v="RM 51 - RM 100"/>
    <s v="\"/>
    <s v="MINYAK"/>
    <n v="22665.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6"/>
    <x v="15"/>
    <x v="4"/>
    <n v="13.5"/>
    <s v="RM 0 - RM50"/>
    <s v="\"/>
    <s v="MINYAK"/>
    <n v="22679.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7"/>
    <x v="15"/>
    <x v="22"/>
    <n v="40"/>
    <s v="RM 0 - RM50"/>
    <s v="\"/>
    <s v="MINYAK"/>
    <n v="22719.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8"/>
    <x v="15"/>
    <x v="22"/>
    <n v="100"/>
    <s v="RM 51 - RM 100"/>
    <s v="\"/>
    <s v="MINYAK"/>
    <n v="22819.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9"/>
    <x v="15"/>
    <x v="4"/>
    <n v="3"/>
    <s v="RM 0 - RM50"/>
    <s v="\"/>
    <s v="BARANG"/>
    <n v="22822.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0"/>
    <x v="15"/>
    <x v="4"/>
    <n v="8"/>
    <s v="RM 0 - RM50"/>
    <s v="\"/>
    <s v="BARANG"/>
    <n v="2283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1"/>
    <x v="16"/>
    <x v="23"/>
    <n v="100"/>
    <s v="RM 51 - RM 100"/>
    <s v="\"/>
    <s v="MINYAK"/>
    <n v="2293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2"/>
    <x v="16"/>
    <x v="3"/>
    <n v="400"/>
    <s v="Above RM 100"/>
    <s v="\"/>
    <s v="MINYAK"/>
    <n v="2333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3"/>
    <x v="16"/>
    <x v="17"/>
    <n v="74"/>
    <s v="RM 51 - RM 100"/>
    <s v="\"/>
    <s v="MINYAK"/>
    <n v="23404.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4"/>
    <x v="16"/>
    <x v="17"/>
    <n v="65"/>
    <s v="RM 51 - RM 100"/>
    <s v="\"/>
    <s v="BARANG"/>
    <n v="23469.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5"/>
    <x v="17"/>
    <x v="18"/>
    <n v="450"/>
    <s v="Above RM 100"/>
    <s v="\"/>
    <s v="MAINTENANCE"/>
    <n v="23919.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6"/>
    <x v="17"/>
    <x v="6"/>
    <n v="100"/>
    <s v="RM 51 - RM 100"/>
    <s v="\"/>
    <s v="MINYAK"/>
    <n v="24019.200000000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7"/>
    <x v="17"/>
    <x v="22"/>
    <n v="285"/>
    <s v="Above RM 100"/>
    <s v="\"/>
    <s v="MINYAK"/>
    <n v="24304.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8"/>
    <x v="17"/>
    <x v="15"/>
    <n v="5.2"/>
    <s v="RM 0 - RM50"/>
    <s v="\"/>
    <s v="BARANG"/>
    <n v="24309.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9"/>
    <x v="17"/>
    <x v="10"/>
    <n v="450.8"/>
    <s v="Above RM 100"/>
    <s v="\"/>
    <s v="BARANG"/>
    <n v="2476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0"/>
    <x v="17"/>
    <x v="3"/>
    <n v="30"/>
    <s v="RM 0 - RM50"/>
    <s v="\"/>
    <s v="MINYAK"/>
    <n v="2479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1"/>
    <x v="17"/>
    <x v="17"/>
    <n v="50"/>
    <s v="RM 0 - RM50"/>
    <s v="\"/>
    <s v="MINYAK"/>
    <n v="2484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2"/>
    <x v="18"/>
    <x v="22"/>
    <n v="600"/>
    <s v="Above RM 100"/>
    <s v="\"/>
    <s v="MINYAK"/>
    <n v="2544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3"/>
    <x v="18"/>
    <x v="6"/>
    <n v="400"/>
    <s v="Above RM 100"/>
    <s v="\"/>
    <s v="MINYAK"/>
    <n v="2584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4"/>
    <x v="18"/>
    <x v="14"/>
    <n v="400"/>
    <s v="Above RM 100"/>
    <s v="\"/>
    <s v="MINYAK"/>
    <n v="26240.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5"/>
    <x v="18"/>
    <x v="10"/>
    <n v="602"/>
    <s v="Above RM 100"/>
    <s v="\"/>
    <s v="MAINTENANCE"/>
    <n v="26842.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6"/>
    <x v="18"/>
    <x v="4"/>
    <n v="30.6"/>
    <s v="RM 0 - RM50"/>
    <s v="\"/>
    <s v="BARANG"/>
    <n v="26872.7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7"/>
    <x v="18"/>
    <x v="1"/>
    <n v="32"/>
    <s v="RM 0 - RM50"/>
    <s v="\"/>
    <s v="BARANG"/>
    <n v="26904.7999999999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8"/>
    <x v="18"/>
    <x v="15"/>
    <n v="30.2"/>
    <s v="RM 0 - RM50"/>
    <s v="\"/>
    <s v="BARANG"/>
    <n v="269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x v="19"/>
    <x v="2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x v="19"/>
    <x v="24"/>
    <m/>
    <m/>
    <m/>
    <s v="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x v="19"/>
    <x v="2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n v="1"/>
    <x v="0"/>
    <x v="0"/>
    <n v="100"/>
    <x v="0"/>
    <s v="\"/>
    <x v="0"/>
    <n v="100"/>
  </r>
  <r>
    <n v="2"/>
    <x v="0"/>
    <x v="1"/>
    <n v="200"/>
    <x v="1"/>
    <s v="\"/>
    <x v="0"/>
    <n v="300"/>
  </r>
  <r>
    <n v="3"/>
    <x v="0"/>
    <x v="2"/>
    <n v="100"/>
    <x v="0"/>
    <s v="\"/>
    <x v="0"/>
    <n v="400"/>
  </r>
  <r>
    <n v="4"/>
    <x v="0"/>
    <x v="3"/>
    <n v="501"/>
    <x v="1"/>
    <s v="\"/>
    <x v="1"/>
    <n v="901"/>
  </r>
  <r>
    <n v="5"/>
    <x v="0"/>
    <x v="4"/>
    <n v="14"/>
    <x v="2"/>
    <s v="\"/>
    <x v="2"/>
    <n v="915"/>
  </r>
  <r>
    <n v="6"/>
    <x v="0"/>
    <x v="5"/>
    <n v="210"/>
    <x v="1"/>
    <s v="\"/>
    <x v="0"/>
    <n v="1125"/>
  </r>
  <r>
    <n v="7"/>
    <x v="0"/>
    <x v="5"/>
    <n v="200"/>
    <x v="1"/>
    <s v="\"/>
    <x v="0"/>
    <n v="1325"/>
  </r>
  <r>
    <n v="8"/>
    <x v="1"/>
    <x v="0"/>
    <n v="200"/>
    <x v="1"/>
    <s v="\"/>
    <x v="0"/>
    <n v="1525"/>
  </r>
  <r>
    <n v="9"/>
    <x v="1"/>
    <x v="6"/>
    <n v="181"/>
    <x v="1"/>
    <s v="\"/>
    <x v="0"/>
    <n v="1706"/>
  </r>
  <r>
    <n v="10"/>
    <x v="1"/>
    <x v="3"/>
    <n v="100"/>
    <x v="0"/>
    <s v="\"/>
    <x v="0"/>
    <n v="1806"/>
  </r>
  <r>
    <n v="11"/>
    <x v="1"/>
    <x v="7"/>
    <n v="100"/>
    <x v="0"/>
    <s v="\"/>
    <x v="0"/>
    <n v="1906"/>
  </r>
  <r>
    <n v="12"/>
    <x v="1"/>
    <x v="8"/>
    <n v="50"/>
    <x v="2"/>
    <s v="\"/>
    <x v="0"/>
    <n v="1956"/>
  </r>
  <r>
    <n v="13"/>
    <x v="1"/>
    <x v="2"/>
    <n v="32"/>
    <x v="2"/>
    <s v="\"/>
    <x v="0"/>
    <n v="1988"/>
  </r>
  <r>
    <n v="14"/>
    <x v="1"/>
    <x v="9"/>
    <n v="21.6"/>
    <x v="2"/>
    <s v="\"/>
    <x v="2"/>
    <n v="2009.6"/>
  </r>
  <r>
    <n v="15"/>
    <x v="2"/>
    <x v="7"/>
    <n v="541"/>
    <x v="1"/>
    <s v="\"/>
    <x v="1"/>
    <n v="2550.6"/>
  </r>
  <r>
    <n v="16"/>
    <x v="2"/>
    <x v="10"/>
    <n v="526"/>
    <x v="1"/>
    <s v="\"/>
    <x v="0"/>
    <n v="3076.6"/>
  </r>
  <r>
    <n v="17"/>
    <x v="2"/>
    <x v="8"/>
    <n v="100"/>
    <x v="0"/>
    <s v="\"/>
    <x v="0"/>
    <n v="3176.6"/>
  </r>
  <r>
    <n v="18"/>
    <x v="2"/>
    <x v="11"/>
    <n v="193.5"/>
    <x v="1"/>
    <s v="\"/>
    <x v="0"/>
    <n v="3370.1"/>
  </r>
  <r>
    <n v="19"/>
    <x v="2"/>
    <x v="12"/>
    <n v="100"/>
    <x v="0"/>
    <s v="\"/>
    <x v="0"/>
    <n v="3470.1"/>
  </r>
  <r>
    <n v="20"/>
    <x v="3"/>
    <x v="7"/>
    <n v="532"/>
    <x v="1"/>
    <s v="\"/>
    <x v="1"/>
    <n v="4002.1"/>
  </r>
  <r>
    <n v="21"/>
    <x v="3"/>
    <x v="8"/>
    <n v="100"/>
    <x v="0"/>
    <s v="\"/>
    <x v="3"/>
    <n v="4102.1000000000004"/>
  </r>
  <r>
    <n v="22"/>
    <x v="3"/>
    <x v="13"/>
    <n v="165"/>
    <x v="1"/>
    <s v="\"/>
    <x v="0"/>
    <n v="4267.1000000000004"/>
  </r>
  <r>
    <n v="23"/>
    <x v="3"/>
    <x v="14"/>
    <n v="150"/>
    <x v="1"/>
    <s v="\"/>
    <x v="0"/>
    <n v="4417.1000000000004"/>
  </r>
  <r>
    <n v="24"/>
    <x v="3"/>
    <x v="15"/>
    <n v="4.4000000000000004"/>
    <x v="2"/>
    <s v="\"/>
    <x v="2"/>
    <n v="4421.5"/>
  </r>
  <r>
    <n v="25"/>
    <x v="3"/>
    <x v="5"/>
    <n v="200"/>
    <x v="1"/>
    <s v="\"/>
    <x v="0"/>
    <n v="4621.5"/>
  </r>
  <r>
    <n v="26"/>
    <x v="3"/>
    <x v="5"/>
    <n v="100"/>
    <x v="0"/>
    <s v="\"/>
    <x v="0"/>
    <n v="4721.5"/>
  </r>
  <r>
    <n v="27"/>
    <x v="3"/>
    <x v="6"/>
    <n v="50"/>
    <x v="2"/>
    <s v="\"/>
    <x v="0"/>
    <n v="4771.5"/>
  </r>
  <r>
    <n v="28"/>
    <x v="3"/>
    <x v="9"/>
    <n v="198"/>
    <x v="1"/>
    <s v="\"/>
    <x v="2"/>
    <n v="4969.5"/>
  </r>
  <r>
    <n v="29"/>
    <x v="3"/>
    <x v="9"/>
    <n v="508"/>
    <x v="1"/>
    <s v="\"/>
    <x v="2"/>
    <n v="5477.5"/>
  </r>
  <r>
    <n v="30"/>
    <x v="3"/>
    <x v="1"/>
    <n v="282"/>
    <x v="1"/>
    <s v="\"/>
    <x v="0"/>
    <n v="5759.5"/>
  </r>
  <r>
    <n v="31"/>
    <x v="4"/>
    <x v="10"/>
    <n v="244"/>
    <x v="1"/>
    <s v="\"/>
    <x v="0"/>
    <n v="6003.5"/>
  </r>
  <r>
    <n v="32"/>
    <x v="4"/>
    <x v="2"/>
    <n v="100"/>
    <x v="0"/>
    <s v="\"/>
    <x v="0"/>
    <n v="6103.5"/>
  </r>
  <r>
    <n v="33"/>
    <x v="4"/>
    <x v="15"/>
    <n v="4"/>
    <x v="2"/>
    <s v="\"/>
    <x v="2"/>
    <n v="6107.5"/>
  </r>
  <r>
    <n v="34"/>
    <x v="4"/>
    <x v="8"/>
    <n v="100"/>
    <x v="0"/>
    <s v="\"/>
    <x v="0"/>
    <n v="6207.5"/>
  </r>
  <r>
    <n v="35"/>
    <x v="4"/>
    <x v="16"/>
    <n v="150"/>
    <x v="1"/>
    <s v="\"/>
    <x v="3"/>
    <n v="6357.5"/>
  </r>
  <r>
    <n v="36"/>
    <x v="4"/>
    <x v="17"/>
    <n v="100"/>
    <x v="0"/>
    <s v="\"/>
    <x v="0"/>
    <n v="6457.5"/>
  </r>
  <r>
    <n v="37"/>
    <x v="4"/>
    <x v="18"/>
    <n v="200"/>
    <x v="1"/>
    <s v="\"/>
    <x v="0"/>
    <n v="6657.5"/>
  </r>
  <r>
    <n v="38"/>
    <x v="4"/>
    <x v="15"/>
    <n v="18"/>
    <x v="2"/>
    <s v="\"/>
    <x v="2"/>
    <n v="6675.5"/>
  </r>
  <r>
    <n v="39"/>
    <x v="4"/>
    <x v="6"/>
    <n v="77.599999999999994"/>
    <x v="0"/>
    <s v="\"/>
    <x v="2"/>
    <n v="6753.1"/>
  </r>
  <r>
    <n v="40"/>
    <x v="4"/>
    <x v="19"/>
    <n v="150"/>
    <x v="1"/>
    <s v="\"/>
    <x v="0"/>
    <n v="6903.1"/>
  </r>
  <r>
    <n v="41"/>
    <x v="5"/>
    <x v="8"/>
    <n v="50"/>
    <x v="2"/>
    <s v="\"/>
    <x v="0"/>
    <n v="6953.1"/>
  </r>
  <r>
    <n v="42"/>
    <x v="5"/>
    <x v="8"/>
    <n v="100"/>
    <x v="0"/>
    <s v="\"/>
    <x v="0"/>
    <n v="7053.1"/>
  </r>
  <r>
    <n v="43"/>
    <x v="5"/>
    <x v="0"/>
    <n v="7"/>
    <x v="2"/>
    <s v="\"/>
    <x v="2"/>
    <n v="7060.1"/>
  </r>
  <r>
    <n v="44"/>
    <x v="5"/>
    <x v="3"/>
    <n v="150"/>
    <x v="1"/>
    <s v="\"/>
    <x v="0"/>
    <n v="7210.1"/>
  </r>
  <r>
    <n v="45"/>
    <x v="5"/>
    <x v="20"/>
    <n v="150"/>
    <x v="1"/>
    <s v="\"/>
    <x v="0"/>
    <n v="7360.1"/>
  </r>
  <r>
    <n v="46"/>
    <x v="5"/>
    <x v="5"/>
    <n v="50"/>
    <x v="2"/>
    <s v="\"/>
    <x v="0"/>
    <n v="7410.1"/>
  </r>
  <r>
    <n v="47"/>
    <x v="5"/>
    <x v="5"/>
    <n v="250"/>
    <x v="1"/>
    <s v="\"/>
    <x v="0"/>
    <n v="7660.1"/>
  </r>
  <r>
    <n v="48"/>
    <x v="5"/>
    <x v="9"/>
    <n v="495"/>
    <x v="1"/>
    <s v="\"/>
    <x v="0"/>
    <n v="8155.1"/>
  </r>
  <r>
    <n v="49"/>
    <x v="5"/>
    <x v="17"/>
    <n v="20"/>
    <x v="2"/>
    <s v="\"/>
    <x v="0"/>
    <n v="8175.1"/>
  </r>
  <r>
    <n v="50"/>
    <x v="5"/>
    <x v="6"/>
    <n v="34"/>
    <x v="2"/>
    <s v="\"/>
    <x v="2"/>
    <n v="8209.1"/>
  </r>
  <r>
    <n v="51"/>
    <x v="6"/>
    <x v="5"/>
    <n v="150"/>
    <x v="1"/>
    <s v="\"/>
    <x v="0"/>
    <n v="8359.1"/>
  </r>
  <r>
    <n v="52"/>
    <x v="6"/>
    <x v="6"/>
    <n v="278.2"/>
    <x v="1"/>
    <s v="\"/>
    <x v="2"/>
    <n v="8637.3000000000011"/>
  </r>
  <r>
    <n v="53"/>
    <x v="6"/>
    <x v="6"/>
    <n v="50"/>
    <x v="2"/>
    <s v="\"/>
    <x v="0"/>
    <n v="8687.3000000000011"/>
  </r>
  <r>
    <n v="54"/>
    <x v="6"/>
    <x v="5"/>
    <n v="891"/>
    <x v="1"/>
    <s v="\"/>
    <x v="1"/>
    <n v="9578.3000000000011"/>
  </r>
  <r>
    <n v="55"/>
    <x v="6"/>
    <x v="8"/>
    <n v="100"/>
    <x v="0"/>
    <s v="\"/>
    <x v="0"/>
    <n v="9678.3000000000011"/>
  </r>
  <r>
    <n v="56"/>
    <x v="6"/>
    <x v="15"/>
    <n v="1.9"/>
    <x v="2"/>
    <s v="\"/>
    <x v="2"/>
    <n v="9680.2000000000007"/>
  </r>
  <r>
    <n v="57"/>
    <x v="6"/>
    <x v="0"/>
    <n v="100"/>
    <x v="0"/>
    <s v="\"/>
    <x v="3"/>
    <n v="9780.2000000000007"/>
  </r>
  <r>
    <n v="58"/>
    <x v="6"/>
    <x v="13"/>
    <n v="100"/>
    <x v="0"/>
    <s v="\"/>
    <x v="0"/>
    <n v="9880.2000000000007"/>
  </r>
  <r>
    <n v="59"/>
    <x v="6"/>
    <x v="0"/>
    <n v="350"/>
    <x v="1"/>
    <s v="\"/>
    <x v="2"/>
    <n v="10230.200000000001"/>
  </r>
  <r>
    <n v="60"/>
    <x v="6"/>
    <x v="9"/>
    <n v="150"/>
    <x v="1"/>
    <s v="\"/>
    <x v="0"/>
    <n v="10380.200000000001"/>
  </r>
  <r>
    <n v="61"/>
    <x v="7"/>
    <x v="10"/>
    <n v="100"/>
    <x v="0"/>
    <s v="\"/>
    <x v="0"/>
    <n v="10480.200000000001"/>
  </r>
  <r>
    <n v="62"/>
    <x v="7"/>
    <x v="8"/>
    <n v="100"/>
    <x v="0"/>
    <s v="\"/>
    <x v="0"/>
    <n v="10580.2"/>
  </r>
  <r>
    <n v="63"/>
    <x v="7"/>
    <x v="3"/>
    <n v="90"/>
    <x v="0"/>
    <s v="\"/>
    <x v="2"/>
    <n v="10670.2"/>
  </r>
  <r>
    <n v="64"/>
    <x v="7"/>
    <x v="14"/>
    <n v="200"/>
    <x v="1"/>
    <s v="\"/>
    <x v="0"/>
    <n v="10870.2"/>
  </r>
  <r>
    <n v="65"/>
    <x v="7"/>
    <x v="15"/>
    <n v="29.8"/>
    <x v="2"/>
    <s v="\"/>
    <x v="2"/>
    <n v="10900"/>
  </r>
  <r>
    <n v="66"/>
    <x v="7"/>
    <x v="5"/>
    <n v="250"/>
    <x v="1"/>
    <s v="\"/>
    <x v="0"/>
    <n v="11150"/>
  </r>
  <r>
    <n v="67"/>
    <x v="8"/>
    <x v="8"/>
    <n v="840"/>
    <x v="1"/>
    <s v="\"/>
    <x v="1"/>
    <n v="11990"/>
  </r>
  <r>
    <n v="68"/>
    <x v="8"/>
    <x v="2"/>
    <n v="100"/>
    <x v="0"/>
    <s v="\"/>
    <x v="0"/>
    <n v="12090"/>
  </r>
  <r>
    <n v="69"/>
    <x v="8"/>
    <x v="14"/>
    <n v="200"/>
    <x v="1"/>
    <s v="\"/>
    <x v="0"/>
    <n v="12290"/>
  </r>
  <r>
    <n v="70"/>
    <x v="8"/>
    <x v="3"/>
    <n v="654.4"/>
    <x v="1"/>
    <s v="\"/>
    <x v="1"/>
    <n v="12944.4"/>
  </r>
  <r>
    <n v="71"/>
    <x v="8"/>
    <x v="0"/>
    <n v="100"/>
    <x v="0"/>
    <s v="\"/>
    <x v="0"/>
    <n v="13044.4"/>
  </r>
  <r>
    <n v="72"/>
    <x v="8"/>
    <x v="0"/>
    <n v="200"/>
    <x v="1"/>
    <s v="\"/>
    <x v="0"/>
    <n v="13244.4"/>
  </r>
  <r>
    <n v="73"/>
    <x v="9"/>
    <x v="8"/>
    <n v="1160"/>
    <x v="1"/>
    <s v="\"/>
    <x v="1"/>
    <n v="14404.4"/>
  </r>
  <r>
    <n v="74"/>
    <x v="9"/>
    <x v="3"/>
    <n v="66"/>
    <x v="0"/>
    <s v="\"/>
    <x v="4"/>
    <n v="14470.4"/>
  </r>
  <r>
    <n v="75"/>
    <x v="9"/>
    <x v="0"/>
    <n v="78.5"/>
    <x v="0"/>
    <s v="\"/>
    <x v="4"/>
    <n v="14548.9"/>
  </r>
  <r>
    <n v="76"/>
    <x v="9"/>
    <x v="0"/>
    <n v="100"/>
    <x v="0"/>
    <s v="\"/>
    <x v="0"/>
    <n v="14648.9"/>
  </r>
  <r>
    <n v="77"/>
    <x v="9"/>
    <x v="4"/>
    <n v="50"/>
    <x v="2"/>
    <s v="\"/>
    <x v="5"/>
    <n v="14698.9"/>
  </r>
  <r>
    <n v="78"/>
    <x v="9"/>
    <x v="5"/>
    <n v="346.9"/>
    <x v="1"/>
    <s v="\"/>
    <x v="0"/>
    <n v="15045.8"/>
  </r>
  <r>
    <n v="79"/>
    <x v="9"/>
    <x v="19"/>
    <n v="200"/>
    <x v="1"/>
    <s v="\"/>
    <x v="0"/>
    <n v="15245.8"/>
  </r>
  <r>
    <n v="80"/>
    <x v="9"/>
    <x v="2"/>
    <n v="320"/>
    <x v="1"/>
    <s v="\"/>
    <x v="2"/>
    <n v="15565.8"/>
  </r>
  <r>
    <n v="81"/>
    <x v="9"/>
    <x v="9"/>
    <n v="200"/>
    <x v="1"/>
    <s v="\"/>
    <x v="0"/>
    <n v="15765.8"/>
  </r>
  <r>
    <n v="82"/>
    <x v="9"/>
    <x v="9"/>
    <n v="323"/>
    <x v="1"/>
    <s v="\"/>
    <x v="0"/>
    <n v="16088.8"/>
  </r>
  <r>
    <n v="83"/>
    <x v="10"/>
    <x v="0"/>
    <n v="4.5"/>
    <x v="2"/>
    <s v="\"/>
    <x v="3"/>
    <n v="16093.3"/>
  </r>
  <r>
    <n v="84"/>
    <x v="11"/>
    <x v="7"/>
    <n v="676.8"/>
    <x v="1"/>
    <s v="\"/>
    <x v="1"/>
    <n v="16770.099999999999"/>
  </r>
  <r>
    <n v="85"/>
    <x v="11"/>
    <x v="21"/>
    <n v="200"/>
    <x v="1"/>
    <s v="\"/>
    <x v="0"/>
    <n v="16970.099999999999"/>
  </r>
  <r>
    <n v="86"/>
    <x v="11"/>
    <x v="18"/>
    <n v="100"/>
    <x v="0"/>
    <s v="\"/>
    <x v="0"/>
    <n v="17070.099999999999"/>
  </r>
  <r>
    <n v="87"/>
    <x v="11"/>
    <x v="9"/>
    <n v="200"/>
    <x v="1"/>
    <s v="\"/>
    <x v="0"/>
    <n v="17270.099999999999"/>
  </r>
  <r>
    <n v="88"/>
    <x v="11"/>
    <x v="8"/>
    <n v="100"/>
    <x v="0"/>
    <s v="\"/>
    <x v="0"/>
    <n v="17370.099999999999"/>
  </r>
  <r>
    <n v="89"/>
    <x v="11"/>
    <x v="13"/>
    <n v="50"/>
    <x v="2"/>
    <s v="\"/>
    <x v="0"/>
    <n v="17420.099999999999"/>
  </r>
  <r>
    <n v="90"/>
    <x v="11"/>
    <x v="17"/>
    <n v="7"/>
    <x v="2"/>
    <s v="\"/>
    <x v="2"/>
    <n v="17427.099999999999"/>
  </r>
  <r>
    <n v="91"/>
    <x v="12"/>
    <x v="10"/>
    <n v="100"/>
    <x v="0"/>
    <s v="\"/>
    <x v="0"/>
    <n v="17527.099999999999"/>
  </r>
  <r>
    <n v="92"/>
    <x v="12"/>
    <x v="16"/>
    <n v="150"/>
    <x v="1"/>
    <s v="\"/>
    <x v="0"/>
    <n v="17677.099999999999"/>
  </r>
  <r>
    <n v="93"/>
    <x v="12"/>
    <x v="8"/>
    <n v="1350"/>
    <x v="1"/>
    <s v="\"/>
    <x v="1"/>
    <n v="19027.099999999999"/>
  </r>
  <r>
    <n v="94"/>
    <x v="12"/>
    <x v="5"/>
    <n v="200"/>
    <x v="1"/>
    <s v="\"/>
    <x v="0"/>
    <n v="19227.099999999999"/>
  </r>
  <r>
    <n v="95"/>
    <x v="12"/>
    <x v="5"/>
    <n v="100"/>
    <x v="0"/>
    <s v="\"/>
    <x v="0"/>
    <n v="19327.099999999999"/>
  </r>
  <r>
    <n v="96"/>
    <x v="13"/>
    <x v="3"/>
    <n v="112.5"/>
    <x v="1"/>
    <s v="\"/>
    <x v="0"/>
    <n v="19439.599999999999"/>
  </r>
  <r>
    <n v="97"/>
    <x v="13"/>
    <x v="6"/>
    <n v="100"/>
    <x v="0"/>
    <s v="\"/>
    <x v="0"/>
    <n v="19539.599999999999"/>
  </r>
  <r>
    <n v="98"/>
    <x v="13"/>
    <x v="0"/>
    <n v="542.4"/>
    <x v="1"/>
    <s v="\"/>
    <x v="1"/>
    <n v="20082"/>
  </r>
  <r>
    <n v="99"/>
    <x v="13"/>
    <x v="0"/>
    <n v="100"/>
    <x v="0"/>
    <s v="\"/>
    <x v="0"/>
    <n v="20182"/>
  </r>
  <r>
    <n v="100"/>
    <x v="13"/>
    <x v="12"/>
    <n v="173"/>
    <x v="1"/>
    <s v="\"/>
    <x v="2"/>
    <n v="20355"/>
  </r>
  <r>
    <n v="101"/>
    <x v="13"/>
    <x v="9"/>
    <n v="200"/>
    <x v="1"/>
    <s v="\"/>
    <x v="0"/>
    <n v="20555"/>
  </r>
  <r>
    <n v="102"/>
    <x v="13"/>
    <x v="19"/>
    <n v="50"/>
    <x v="2"/>
    <s v="\"/>
    <x v="0"/>
    <n v="20605"/>
  </r>
  <r>
    <n v="103"/>
    <x v="13"/>
    <x v="19"/>
    <n v="28.5"/>
    <x v="2"/>
    <s v="\"/>
    <x v="2"/>
    <n v="20633.5"/>
  </r>
  <r>
    <n v="104"/>
    <x v="14"/>
    <x v="3"/>
    <n v="726.4"/>
    <x v="1"/>
    <s v="\"/>
    <x v="2"/>
    <n v="21359.9"/>
  </r>
  <r>
    <n v="105"/>
    <x v="14"/>
    <x v="16"/>
    <n v="200"/>
    <x v="1"/>
    <s v="\"/>
    <x v="5"/>
    <n v="21559.9"/>
  </r>
  <r>
    <n v="106"/>
    <x v="14"/>
    <x v="15"/>
    <n v="1.1000000000000001"/>
    <x v="2"/>
    <s v="\"/>
    <x v="2"/>
    <n v="21561"/>
  </r>
  <r>
    <n v="107"/>
    <x v="14"/>
    <x v="15"/>
    <n v="17"/>
    <x v="2"/>
    <s v="\"/>
    <x v="2"/>
    <n v="21578"/>
  </r>
  <r>
    <n v="108"/>
    <x v="14"/>
    <x v="8"/>
    <n v="370"/>
    <x v="1"/>
    <s v="\"/>
    <x v="1"/>
    <n v="21948"/>
  </r>
  <r>
    <n v="109"/>
    <x v="14"/>
    <x v="8"/>
    <n v="120"/>
    <x v="1"/>
    <s v="\"/>
    <x v="0"/>
    <n v="22068"/>
  </r>
  <r>
    <n v="110"/>
    <x v="14"/>
    <x v="15"/>
    <n v="3.2"/>
    <x v="2"/>
    <s v="\"/>
    <x v="2"/>
    <n v="22071.200000000001"/>
  </r>
  <r>
    <n v="111"/>
    <x v="14"/>
    <x v="4"/>
    <n v="50"/>
    <x v="2"/>
    <s v="\"/>
    <x v="0"/>
    <n v="22121.200000000001"/>
  </r>
  <r>
    <n v="112"/>
    <x v="14"/>
    <x v="8"/>
    <n v="370"/>
    <x v="1"/>
    <s v="\"/>
    <x v="1"/>
    <n v="22491.200000000001"/>
  </r>
  <r>
    <n v="113"/>
    <x v="14"/>
    <x v="10"/>
    <n v="60"/>
    <x v="0"/>
    <s v="\"/>
    <x v="0"/>
    <n v="22551.200000000001"/>
  </r>
  <r>
    <n v="114"/>
    <x v="14"/>
    <x v="15"/>
    <n v="14.5"/>
    <x v="2"/>
    <s v="\"/>
    <x v="2"/>
    <n v="22565.7"/>
  </r>
  <r>
    <n v="115"/>
    <x v="15"/>
    <x v="3"/>
    <n v="100"/>
    <x v="0"/>
    <s v="\"/>
    <x v="0"/>
    <n v="22665.7"/>
  </r>
  <r>
    <n v="116"/>
    <x v="15"/>
    <x v="4"/>
    <n v="13.5"/>
    <x v="2"/>
    <s v="\"/>
    <x v="0"/>
    <n v="22679.200000000001"/>
  </r>
  <r>
    <n v="117"/>
    <x v="15"/>
    <x v="22"/>
    <n v="40"/>
    <x v="2"/>
    <s v="\"/>
    <x v="0"/>
    <n v="22719.200000000001"/>
  </r>
  <r>
    <n v="118"/>
    <x v="15"/>
    <x v="22"/>
    <n v="100"/>
    <x v="0"/>
    <s v="\"/>
    <x v="0"/>
    <n v="22819.200000000001"/>
  </r>
  <r>
    <n v="119"/>
    <x v="15"/>
    <x v="4"/>
    <n v="3"/>
    <x v="2"/>
    <s v="\"/>
    <x v="2"/>
    <n v="22822.2"/>
  </r>
  <r>
    <n v="120"/>
    <x v="15"/>
    <x v="4"/>
    <n v="8"/>
    <x v="2"/>
    <s v="\"/>
    <x v="2"/>
    <n v="22830.2"/>
  </r>
  <r>
    <n v="121"/>
    <x v="16"/>
    <x v="23"/>
    <n v="100"/>
    <x v="0"/>
    <s v="\"/>
    <x v="0"/>
    <n v="22930.2"/>
  </r>
  <r>
    <n v="122"/>
    <x v="16"/>
    <x v="3"/>
    <n v="400"/>
    <x v="1"/>
    <s v="\"/>
    <x v="0"/>
    <n v="23330.2"/>
  </r>
  <r>
    <n v="123"/>
    <x v="16"/>
    <x v="17"/>
    <n v="74"/>
    <x v="0"/>
    <s v="\"/>
    <x v="0"/>
    <n v="23404.2"/>
  </r>
  <r>
    <n v="124"/>
    <x v="16"/>
    <x v="17"/>
    <n v="65"/>
    <x v="0"/>
    <s v="\"/>
    <x v="2"/>
    <n v="23469.200000000001"/>
  </r>
  <r>
    <n v="125"/>
    <x v="17"/>
    <x v="18"/>
    <n v="450"/>
    <x v="1"/>
    <s v="\"/>
    <x v="5"/>
    <n v="23919.200000000001"/>
  </r>
  <r>
    <n v="126"/>
    <x v="17"/>
    <x v="6"/>
    <n v="100"/>
    <x v="0"/>
    <s v="\"/>
    <x v="0"/>
    <n v="24019.200000000001"/>
  </r>
  <r>
    <n v="127"/>
    <x v="17"/>
    <x v="22"/>
    <n v="285"/>
    <x v="1"/>
    <s v="\"/>
    <x v="0"/>
    <n v="24304.2"/>
  </r>
  <r>
    <n v="128"/>
    <x v="17"/>
    <x v="15"/>
    <n v="5.2"/>
    <x v="2"/>
    <s v="\"/>
    <x v="2"/>
    <n v="24309.4"/>
  </r>
  <r>
    <n v="129"/>
    <x v="17"/>
    <x v="10"/>
    <n v="450.8"/>
    <x v="1"/>
    <s v="\"/>
    <x v="2"/>
    <n v="24760.2"/>
  </r>
  <r>
    <n v="130"/>
    <x v="17"/>
    <x v="3"/>
    <n v="30"/>
    <x v="2"/>
    <s v="\"/>
    <x v="0"/>
    <n v="24790.2"/>
  </r>
  <r>
    <n v="131"/>
    <x v="17"/>
    <x v="17"/>
    <n v="50"/>
    <x v="2"/>
    <s v="\"/>
    <x v="0"/>
    <n v="24840.2"/>
  </r>
  <r>
    <n v="132"/>
    <x v="18"/>
    <x v="22"/>
    <n v="600"/>
    <x v="1"/>
    <s v="\"/>
    <x v="0"/>
    <n v="25440.2"/>
  </r>
  <r>
    <n v="133"/>
    <x v="18"/>
    <x v="6"/>
    <n v="400"/>
    <x v="1"/>
    <s v="\"/>
    <x v="0"/>
    <n v="25840.2"/>
  </r>
  <r>
    <n v="134"/>
    <x v="18"/>
    <x v="14"/>
    <n v="400"/>
    <x v="1"/>
    <s v="\"/>
    <x v="0"/>
    <n v="26240.2"/>
  </r>
  <r>
    <n v="135"/>
    <x v="18"/>
    <x v="10"/>
    <n v="602"/>
    <x v="1"/>
    <s v="\"/>
    <x v="5"/>
    <n v="26842.2"/>
  </r>
  <r>
    <n v="136"/>
    <x v="18"/>
    <x v="4"/>
    <n v="30.6"/>
    <x v="2"/>
    <s v="\"/>
    <x v="2"/>
    <n v="26872.799999999999"/>
  </r>
  <r>
    <n v="137"/>
    <x v="18"/>
    <x v="1"/>
    <n v="32"/>
    <x v="2"/>
    <s v="\"/>
    <x v="2"/>
    <n v="26904.799999999999"/>
  </r>
  <r>
    <n v="138"/>
    <x v="18"/>
    <x v="15"/>
    <n v="30.2"/>
    <x v="2"/>
    <s v="\"/>
    <x v="2"/>
    <n v="269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B7FBD5-38ED-4A86-9A78-33D6138D1024}"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6">
  <location ref="B5:I12" firstHeaderRow="1" firstDataRow="2" firstDataCol="1"/>
  <pivotFields count="8">
    <pivotField showAll="0"/>
    <pivotField numFmtId="164" showAll="0">
      <items count="20">
        <item x="0"/>
        <item x="1"/>
        <item x="2"/>
        <item x="3"/>
        <item x="4"/>
        <item x="5"/>
        <item x="6"/>
        <item x="7"/>
        <item x="8"/>
        <item x="9"/>
        <item x="10"/>
        <item x="11"/>
        <item x="12"/>
        <item x="13"/>
        <item x="14"/>
        <item x="15"/>
        <item x="16"/>
        <item x="17"/>
        <item x="18"/>
        <item t="default"/>
      </items>
    </pivotField>
    <pivotField axis="axisRow" showAll="0" measureFilter="1">
      <items count="25">
        <item x="15"/>
        <item x="0"/>
        <item x="9"/>
        <item x="10"/>
        <item x="12"/>
        <item x="13"/>
        <item x="14"/>
        <item x="20"/>
        <item x="16"/>
        <item x="17"/>
        <item x="18"/>
        <item x="19"/>
        <item x="22"/>
        <item x="1"/>
        <item x="11"/>
        <item x="23"/>
        <item x="2"/>
        <item x="3"/>
        <item x="4"/>
        <item x="5"/>
        <item x="21"/>
        <item x="6"/>
        <item x="7"/>
        <item x="8"/>
        <item t="default"/>
      </items>
    </pivotField>
    <pivotField dataField="1" numFmtId="165" showAll="0"/>
    <pivotField showAll="0">
      <items count="4">
        <item x="1"/>
        <item x="2"/>
        <item x="0"/>
        <item t="default"/>
      </items>
    </pivotField>
    <pivotField showAll="0"/>
    <pivotField axis="axisCol" showAll="0" sortType="ascending">
      <items count="12">
        <item x="2"/>
        <item x="5"/>
        <item x="4"/>
        <item x="0"/>
        <item m="1" x="10"/>
        <item m="1" x="7"/>
        <item m="1" x="8"/>
        <item m="1" x="6"/>
        <item m="1" x="9"/>
        <item x="1"/>
        <item x="3"/>
        <item t="default"/>
      </items>
      <autoSortScope>
        <pivotArea dataOnly="0" outline="0" fieldPosition="0">
          <references count="1">
            <reference field="4294967294" count="1" selected="0">
              <x v="0"/>
            </reference>
          </references>
        </pivotArea>
      </autoSortScope>
    </pivotField>
    <pivotField numFmtId="165" showAll="0"/>
  </pivotFields>
  <rowFields count="1">
    <field x="2"/>
  </rowFields>
  <rowItems count="6">
    <i>
      <x v="2"/>
    </i>
    <i>
      <x v="3"/>
    </i>
    <i>
      <x v="17"/>
    </i>
    <i>
      <x v="19"/>
    </i>
    <i>
      <x v="23"/>
    </i>
    <i t="grand">
      <x/>
    </i>
  </rowItems>
  <colFields count="1">
    <field x="6"/>
  </colFields>
  <colItems count="7">
    <i>
      <x v="2"/>
    </i>
    <i>
      <x v="10"/>
    </i>
    <i>
      <x v="1"/>
    </i>
    <i>
      <x/>
    </i>
    <i>
      <x v="9"/>
    </i>
    <i>
      <x v="3"/>
    </i>
    <i t="grand">
      <x/>
    </i>
  </colItems>
  <dataFields count="1">
    <dataField name="Sum of AMOUNT" fld="3" baseField="0" baseItem="0" numFmtId="165"/>
  </dataFields>
  <chartFormats count="15">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6" count="1" selected="0">
            <x v="1"/>
          </reference>
        </references>
      </pivotArea>
    </chartFormat>
    <chartFormat chart="22" format="18">
      <pivotArea type="data" outline="0" fieldPosition="0">
        <references count="2">
          <reference field="4294967294" count="1" selected="0">
            <x v="0"/>
          </reference>
          <reference field="6" count="1" selected="0">
            <x v="2"/>
          </reference>
        </references>
      </pivotArea>
    </chartFormat>
    <chartFormat chart="22" format="19">
      <pivotArea type="data" outline="0" fieldPosition="0">
        <references count="2">
          <reference field="4294967294" count="1" selected="0">
            <x v="0"/>
          </reference>
          <reference field="6" count="1" selected="0">
            <x v="7"/>
          </reference>
        </references>
      </pivotArea>
    </chartFormat>
    <chartFormat chart="22" format="20">
      <pivotArea type="data" outline="0" fieldPosition="0">
        <references count="2">
          <reference field="4294967294" count="1" selected="0">
            <x v="0"/>
          </reference>
          <reference field="6" count="1" selected="0">
            <x v="0"/>
          </reference>
        </references>
      </pivotArea>
    </chartFormat>
    <chartFormat chart="22" format="21">
      <pivotArea type="data" outline="0" fieldPosition="0">
        <references count="2">
          <reference field="4294967294" count="1" selected="0">
            <x v="0"/>
          </reference>
          <reference field="6" count="1" selected="0">
            <x v="9"/>
          </reference>
        </references>
      </pivotArea>
    </chartFormat>
    <chartFormat chart="22" format="22">
      <pivotArea type="data" outline="0" fieldPosition="0">
        <references count="2">
          <reference field="4294967294" count="1" selected="0">
            <x v="0"/>
          </reference>
          <reference field="6" count="1" selected="0">
            <x v="3"/>
          </reference>
        </references>
      </pivotArea>
    </chartFormat>
    <chartFormat chart="37" format="4" series="1">
      <pivotArea type="data" outline="0" fieldPosition="0">
        <references count="1">
          <reference field="4294967294" count="1" selected="0">
            <x v="0"/>
          </reference>
        </references>
      </pivotArea>
    </chartFormat>
    <chartFormat chart="50" format="12" series="1">
      <pivotArea type="data" outline="0" fieldPosition="0">
        <references count="2">
          <reference field="4294967294" count="1" selected="0">
            <x v="0"/>
          </reference>
          <reference field="6" count="1" selected="0">
            <x v="2"/>
          </reference>
        </references>
      </pivotArea>
    </chartFormat>
    <chartFormat chart="50" format="13" series="1">
      <pivotArea type="data" outline="0" fieldPosition="0">
        <references count="2">
          <reference field="4294967294" count="1" selected="0">
            <x v="0"/>
          </reference>
          <reference field="6" count="1" selected="0">
            <x v="10"/>
          </reference>
        </references>
      </pivotArea>
    </chartFormat>
    <chartFormat chart="50" format="14" series="1">
      <pivotArea type="data" outline="0" fieldPosition="0">
        <references count="2">
          <reference field="4294967294" count="1" selected="0">
            <x v="0"/>
          </reference>
          <reference field="6" count="1" selected="0">
            <x v="1"/>
          </reference>
        </references>
      </pivotArea>
    </chartFormat>
    <chartFormat chart="50" format="15" series="1">
      <pivotArea type="data" outline="0" fieldPosition="0">
        <references count="2">
          <reference field="4294967294" count="1" selected="0">
            <x v="0"/>
          </reference>
          <reference field="6" count="1" selected="0">
            <x v="0"/>
          </reference>
        </references>
      </pivotArea>
    </chartFormat>
    <chartFormat chart="50" format="16" series="1">
      <pivotArea type="data" outline="0" fieldPosition="0">
        <references count="2">
          <reference field="4294967294" count="1" selected="0">
            <x v="0"/>
          </reference>
          <reference field="6" count="1" selected="0">
            <x v="9"/>
          </reference>
        </references>
      </pivotArea>
    </chartFormat>
    <chartFormat chart="50" format="17" series="1">
      <pivotArea type="data" outline="0" fieldPosition="0">
        <references count="2">
          <reference field="4294967294" count="1" selected="0">
            <x v="0"/>
          </reference>
          <reference field="6" count="1" selected="0">
            <x v="3"/>
          </reference>
        </references>
      </pivotArea>
    </chartFormat>
    <chartFormat chart="50" format="18">
      <pivotArea type="data" outline="0" fieldPosition="0">
        <references count="3">
          <reference field="4294967294" count="1" selected="0">
            <x v="0"/>
          </reference>
          <reference field="2" count="1" selected="0">
            <x v="23"/>
          </reference>
          <reference field="6" count="1" selected="0">
            <x v="9"/>
          </reference>
        </references>
      </pivotArea>
    </chartFormat>
  </chartFormats>
  <pivotTableStyleInfo name="PivotStyleLight16" showRowHeaders="1" showColHeaders="1" showRowStripes="0" showColStripes="0" showLastColumn="1"/>
  <filters count="2">
    <filter fld="1" type="dateBetween" evalOrder="-1" id="40" name="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2" type="count" evalOrder="-1" id="3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D80183-99CE-43E4-81DF-2EAB096222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5:F31" firstHeaderRow="1" firstDataRow="1" firstDataCol="1"/>
  <pivotFields count="16384">
    <pivotField showAll="0"/>
    <pivotField showAll="0">
      <items count="21">
        <item x="0"/>
        <item x="1"/>
        <item x="2"/>
        <item x="3"/>
        <item x="4"/>
        <item x="5"/>
        <item x="6"/>
        <item x="7"/>
        <item x="8"/>
        <item x="9"/>
        <item x="10"/>
        <item x="11"/>
        <item x="12"/>
        <item x="13"/>
        <item x="14"/>
        <item x="15"/>
        <item x="16"/>
        <item x="17"/>
        <item x="18"/>
        <item h="1" x="19"/>
        <item t="default"/>
      </items>
    </pivotField>
    <pivotField axis="axisRow" showAll="0" measureFilter="1" includeNewItemsInFilter="1" countASubtotal="1">
      <items count="26">
        <item x="15"/>
        <item x="0"/>
        <item x="9"/>
        <item x="10"/>
        <item x="12"/>
        <item x="13"/>
        <item x="14"/>
        <item x="20"/>
        <item x="16"/>
        <item x="17"/>
        <item x="18"/>
        <item x="19"/>
        <item x="22"/>
        <item x="1"/>
        <item x="11"/>
        <item x="23"/>
        <item x="2"/>
        <item x="3"/>
        <item x="4"/>
        <item x="5"/>
        <item x="21"/>
        <item x="6"/>
        <item x="7"/>
        <item x="8"/>
        <item x="24"/>
        <item t="countA"/>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2"/>
    </i>
    <i>
      <x v="3"/>
    </i>
    <i>
      <x v="17"/>
    </i>
    <i>
      <x v="19"/>
    </i>
    <i>
      <x v="23"/>
    </i>
    <i t="grand">
      <x/>
    </i>
  </rowItems>
  <colItems count="1">
    <i/>
  </colItems>
  <dataFields count="1">
    <dataField name="Sum of AMOUNT" fld="3" baseField="0" baseItem="0" numFmtId="166"/>
  </dataFields>
  <formats count="2">
    <format dxfId="2">
      <pivotArea outline="0" collapsedLevelsAreSubtotals="1"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51902-935E-4951-9052-10E47BB96A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4:C34" firstHeaderRow="1" firstDataRow="1" firstDataCol="1"/>
  <pivotFields count="16384">
    <pivotField showAll="0"/>
    <pivotField axis="axisRow" showAll="0">
      <items count="21">
        <item x="0"/>
        <item x="1"/>
        <item x="2"/>
        <item x="3"/>
        <item x="4"/>
        <item x="5"/>
        <item x="6"/>
        <item x="7"/>
        <item x="8"/>
        <item x="9"/>
        <item x="10"/>
        <item x="11"/>
        <item x="12"/>
        <item x="13"/>
        <item x="14"/>
        <item x="15"/>
        <item x="16"/>
        <item x="17"/>
        <item x="18"/>
        <item h="1" x="1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AMOUNT" fld="3"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BA1E7D-4981-4BA3-BF46-AA7053B5A1A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E14:G21" firstHeaderRow="0" firstDataRow="1" firstDataCol="1"/>
  <pivotFields count="8">
    <pivotField showAll="0"/>
    <pivotField numFmtId="164" showAll="0">
      <items count="20">
        <item x="0"/>
        <item x="1"/>
        <item x="2"/>
        <item x="3"/>
        <item x="4"/>
        <item x="5"/>
        <item x="6"/>
        <item x="7"/>
        <item x="8"/>
        <item x="9"/>
        <item x="10"/>
        <item x="11"/>
        <item x="12"/>
        <item x="13"/>
        <item x="14"/>
        <item x="15"/>
        <item x="16"/>
        <item x="17"/>
        <item x="18"/>
        <item t="default"/>
      </items>
    </pivotField>
    <pivotField showAll="0"/>
    <pivotField dataField="1" numFmtId="165" showAll="0"/>
    <pivotField showAll="0">
      <items count="4">
        <item x="1"/>
        <item x="2"/>
        <item x="0"/>
        <item t="default"/>
      </items>
    </pivotField>
    <pivotField showAll="0"/>
    <pivotField axis="axisRow" showAll="0" sortType="ascending">
      <items count="12">
        <item x="2"/>
        <item x="5"/>
        <item x="4"/>
        <item x="0"/>
        <item m="1" x="10"/>
        <item m="1" x="7"/>
        <item m="1" x="8"/>
        <item m="1" x="6"/>
        <item m="1" x="9"/>
        <item x="1"/>
        <item x="3"/>
        <item t="default"/>
      </items>
      <autoSortScope>
        <pivotArea dataOnly="0" outline="0" fieldPosition="0">
          <references count="1">
            <reference field="4294967294" count="1" selected="0">
              <x v="0"/>
            </reference>
          </references>
        </pivotArea>
      </autoSortScope>
    </pivotField>
    <pivotField numFmtId="165" showAll="0"/>
  </pivotFields>
  <rowFields count="1">
    <field x="6"/>
  </rowFields>
  <rowItems count="7">
    <i>
      <x v="2"/>
    </i>
    <i>
      <x v="10"/>
    </i>
    <i>
      <x v="1"/>
    </i>
    <i>
      <x/>
    </i>
    <i>
      <x v="9"/>
    </i>
    <i>
      <x v="3"/>
    </i>
    <i t="grand">
      <x/>
    </i>
  </rowItems>
  <colFields count="1">
    <field x="-2"/>
  </colFields>
  <colItems count="2">
    <i>
      <x/>
    </i>
    <i i="1">
      <x v="1"/>
    </i>
  </colItems>
  <dataFields count="2">
    <dataField name="Sum of AMOUNT" fld="3" baseField="0" baseItem="0" numFmtId="165"/>
    <dataField name="Percentage" fld="3" showDataAs="percentOfTotal" baseField="0" baseItem="0" numFmtId="10"/>
  </dataFields>
  <chartFormats count="16">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6" count="1" selected="0">
            <x v="1"/>
          </reference>
        </references>
      </pivotArea>
    </chartFormat>
    <chartFormat chart="22" format="18">
      <pivotArea type="data" outline="0" fieldPosition="0">
        <references count="2">
          <reference field="4294967294" count="1" selected="0">
            <x v="0"/>
          </reference>
          <reference field="6" count="1" selected="0">
            <x v="2"/>
          </reference>
        </references>
      </pivotArea>
    </chartFormat>
    <chartFormat chart="22" format="19">
      <pivotArea type="data" outline="0" fieldPosition="0">
        <references count="2">
          <reference field="4294967294" count="1" selected="0">
            <x v="0"/>
          </reference>
          <reference field="6" count="1" selected="0">
            <x v="7"/>
          </reference>
        </references>
      </pivotArea>
    </chartFormat>
    <chartFormat chart="22" format="20">
      <pivotArea type="data" outline="0" fieldPosition="0">
        <references count="2">
          <reference field="4294967294" count="1" selected="0">
            <x v="0"/>
          </reference>
          <reference field="6" count="1" selected="0">
            <x v="0"/>
          </reference>
        </references>
      </pivotArea>
    </chartFormat>
    <chartFormat chart="22" format="21">
      <pivotArea type="data" outline="0" fieldPosition="0">
        <references count="2">
          <reference field="4294967294" count="1" selected="0">
            <x v="0"/>
          </reference>
          <reference field="6" count="1" selected="0">
            <x v="9"/>
          </reference>
        </references>
      </pivotArea>
    </chartFormat>
    <chartFormat chart="22" format="22">
      <pivotArea type="data" outline="0" fieldPosition="0">
        <references count="2">
          <reference field="4294967294" count="1" selected="0">
            <x v="0"/>
          </reference>
          <reference field="6" count="1" selected="0">
            <x v="3"/>
          </reference>
        </references>
      </pivotArea>
    </chartFormat>
    <chartFormat chart="22" format="23" series="1">
      <pivotArea type="data" outline="0" fieldPosition="0">
        <references count="1">
          <reference field="4294967294" count="1" selected="0">
            <x v="1"/>
          </reference>
        </references>
      </pivotArea>
    </chartFormat>
    <chartFormat chart="22" format="24">
      <pivotArea type="data" outline="0" fieldPosition="0">
        <references count="2">
          <reference field="4294967294" count="1" selected="0">
            <x v="1"/>
          </reference>
          <reference field="6" count="1" selected="0">
            <x v="1"/>
          </reference>
        </references>
      </pivotArea>
    </chartFormat>
    <chartFormat chart="22" format="25">
      <pivotArea type="data" outline="0" fieldPosition="0">
        <references count="2">
          <reference field="4294967294" count="1" selected="0">
            <x v="1"/>
          </reference>
          <reference field="6" count="1" selected="0">
            <x v="2"/>
          </reference>
        </references>
      </pivotArea>
    </chartFormat>
    <chartFormat chart="22" format="26">
      <pivotArea type="data" outline="0" fieldPosition="0">
        <references count="2">
          <reference field="4294967294" count="1" selected="0">
            <x v="1"/>
          </reference>
          <reference field="6" count="1" selected="0">
            <x v="7"/>
          </reference>
        </references>
      </pivotArea>
    </chartFormat>
    <chartFormat chart="22" format="27">
      <pivotArea type="data" outline="0" fieldPosition="0">
        <references count="2">
          <reference field="4294967294" count="1" selected="0">
            <x v="1"/>
          </reference>
          <reference field="6" count="1" selected="0">
            <x v="0"/>
          </reference>
        </references>
      </pivotArea>
    </chartFormat>
    <chartFormat chart="22" format="28">
      <pivotArea type="data" outline="0" fieldPosition="0">
        <references count="2">
          <reference field="4294967294" count="1" selected="0">
            <x v="1"/>
          </reference>
          <reference field="6" count="1" selected="0">
            <x v="9"/>
          </reference>
        </references>
      </pivotArea>
    </chartFormat>
    <chartFormat chart="22" format="29">
      <pivotArea type="data" outline="0" fieldPosition="0">
        <references count="2">
          <reference field="4294967294" count="1" selected="0">
            <x v="1"/>
          </reference>
          <reference field="6" count="1" selected="0">
            <x v="3"/>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38" name="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77ED08-4E77-40E0-AEA9-C23734DDE1F7}" sourceName="CATEGORY">
  <pivotTables>
    <pivotTable tabId="3" name="PivotTable1"/>
    <pivotTable tabId="3" name="PivotTable3"/>
  </pivotTables>
  <data>
    <tabular pivotCacheId="635359957">
      <items count="11">
        <i x="2" s="1"/>
        <i x="1" s="1"/>
        <i x="3" s="1"/>
        <i x="5" s="1"/>
        <i x="4" s="1"/>
        <i x="0" s="1"/>
        <i x="10" s="1" nd="1"/>
        <i x="7" s="1" nd="1"/>
        <i x="8" s="1" nd="1"/>
        <i x="6" s="1" nd="1"/>
        <i x="9"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63DB5881-1BA0-4C9A-BE63-445F316D0F9A}" sourceName="PRICE RANGE">
  <pivotTables>
    <pivotTable tabId="3" name="PivotTable1"/>
    <pivotTable tabId="3" name="PivotTable3"/>
  </pivotTables>
  <data>
    <tabular pivotCacheId="63535995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473495B-6604-4AD6-933A-FF05C7E3A54C}" sourceName="DATE">
  <pivotTables>
    <pivotTable tabId="3" name="PivotTable4"/>
    <pivotTable tabId="3" name="PivotTable2"/>
  </pivotTables>
  <data>
    <tabular pivotCacheId="408831544">
      <items count="20">
        <i x="0" s="1"/>
        <i x="1" s="1"/>
        <i x="2" s="1"/>
        <i x="3" s="1"/>
        <i x="4" s="1"/>
        <i x="5" s="1"/>
        <i x="6" s="1"/>
        <i x="7" s="1"/>
        <i x="8" s="1"/>
        <i x="9" s="1"/>
        <i x="10" s="1"/>
        <i x="11" s="1"/>
        <i x="12" s="1"/>
        <i x="13" s="1"/>
        <i x="14" s="1"/>
        <i x="15" s="1"/>
        <i x="16" s="1"/>
        <i x="17" s="1"/>
        <i x="18" s="1"/>
        <i x="1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02A803B-F971-45E9-943A-1116B6A6511B}" cache="Slicer_CATEGORY" caption="CATEGORY" rowHeight="247650"/>
  <slicer name="PRICE RANGE" xr10:uid="{8854F224-2EE6-4D6B-97ED-7729116C1ADA}" cache="Slicer_PRICE_RANGE" caption="PRICE RANGE" rowHeight="247650"/>
  <slicer name="DATE" xr10:uid="{C67446D6-36EC-4E65-AFC2-4D7B0618EA56}" cache="Slicer_DATE" caption="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63DD2EC-FD70-494E-ACB4-11E84E912157}" sourceName="DATE">
  <pivotTables>
    <pivotTable tabId="3" name="PivotTable1"/>
    <pivotTable tabId="3" name="PivotTable3"/>
  </pivotTables>
  <state minimalRefreshVersion="6" lastRefreshVersion="6" pivotCacheId="635359957" filterType="dateBetween">
    <selection startDate="2026-03-01T00:00:00" endDate="2026-03-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4A7127B-2496-43AA-9054-74843DB1B3D8}" cache="NativeTimeline_DATE" caption="DATE" level="3" selectionLevel="2" scrollPosition="2026-03-21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27B9-D727-4AB0-B8CC-575F8C199A91}">
  <dimension ref="A1:N141"/>
  <sheetViews>
    <sheetView workbookViewId="0">
      <selection activeCell="K21" sqref="K21"/>
    </sheetView>
  </sheetViews>
  <sheetFormatPr defaultRowHeight="14.4" x14ac:dyDescent="0.3"/>
  <cols>
    <col min="1" max="1" width="4.44140625" bestFit="1" customWidth="1"/>
    <col min="2" max="2" width="10.6640625" style="8" bestFit="1" customWidth="1"/>
    <col min="3" max="3" width="10.88671875" bestFit="1" customWidth="1"/>
    <col min="4" max="4" width="12.44140625" style="9" bestFit="1" customWidth="1"/>
    <col min="5" max="5" width="13.21875" bestFit="1" customWidth="1"/>
    <col min="6" max="6" width="13.44140625" bestFit="1" customWidth="1"/>
    <col min="7" max="7" width="14.44140625" bestFit="1" customWidth="1"/>
    <col min="8" max="8" width="13.5546875" bestFit="1" customWidth="1"/>
    <col min="9" max="9" width="10.88671875" customWidth="1"/>
    <col min="10" max="10" width="4.44140625" bestFit="1" customWidth="1"/>
    <col min="11" max="11" width="10.6640625" style="8" bestFit="1" customWidth="1"/>
    <col min="12" max="12" width="12.44140625" style="9" bestFit="1" customWidth="1"/>
    <col min="13" max="13" width="10.5546875" style="9" bestFit="1" customWidth="1"/>
    <col min="14" max="14" width="12.44140625" style="9" bestFit="1" customWidth="1"/>
    <col min="16" max="16" width="15.88671875" bestFit="1" customWidth="1"/>
    <col min="17" max="17" width="13.5546875" bestFit="1" customWidth="1"/>
  </cols>
  <sheetData>
    <row r="1" spans="1:8" x14ac:dyDescent="0.3">
      <c r="A1" s="2" t="s">
        <v>0</v>
      </c>
      <c r="B1" s="3" t="s">
        <v>1</v>
      </c>
      <c r="C1" s="2" t="s">
        <v>3</v>
      </c>
      <c r="D1" s="4" t="s">
        <v>4</v>
      </c>
      <c r="E1" s="20" t="s">
        <v>54</v>
      </c>
      <c r="F1" s="1" t="s">
        <v>5</v>
      </c>
      <c r="G1" s="2" t="s">
        <v>2</v>
      </c>
      <c r="H1" s="2" t="s">
        <v>6</v>
      </c>
    </row>
    <row r="2" spans="1:8" x14ac:dyDescent="0.3">
      <c r="A2">
        <v>1</v>
      </c>
      <c r="B2" s="8">
        <f>DATE(2026,3,1)</f>
        <v>46082</v>
      </c>
      <c r="C2" t="s">
        <v>23</v>
      </c>
      <c r="D2" s="9">
        <v>100</v>
      </c>
      <c r="E2" t="str">
        <f>IF(D2&lt;=50,"RM 0 - RM50",IF(D2&lt;=100,"RM 51 - RM 100","Above RM 100"))</f>
        <v>RM 51 - RM 100</v>
      </c>
      <c r="F2" s="16" t="s">
        <v>11</v>
      </c>
      <c r="G2" t="s">
        <v>12</v>
      </c>
      <c r="H2" s="9">
        <f>SUM(D2)</f>
        <v>100</v>
      </c>
    </row>
    <row r="3" spans="1:8" x14ac:dyDescent="0.3">
      <c r="A3">
        <v>2</v>
      </c>
      <c r="B3" s="8">
        <f t="shared" ref="B3:B8" si="0">DATE(2026,3,1)</f>
        <v>46082</v>
      </c>
      <c r="C3" t="s">
        <v>25</v>
      </c>
      <c r="D3" s="9">
        <v>200</v>
      </c>
      <c r="E3" t="str">
        <f t="shared" ref="E3:E66" si="1">IF(D3&lt;=50,"RM 0 - RM50",IF(D3&lt;=100,"RM 51 - RM 100","Above RM 100"))</f>
        <v>Above RM 100</v>
      </c>
      <c r="F3" s="16" t="s">
        <v>11</v>
      </c>
      <c r="G3" t="s">
        <v>12</v>
      </c>
      <c r="H3" s="9">
        <f t="shared" ref="H3:H34" si="2">H2+D3</f>
        <v>300</v>
      </c>
    </row>
    <row r="4" spans="1:8" x14ac:dyDescent="0.3">
      <c r="A4">
        <v>3</v>
      </c>
      <c r="B4" s="8">
        <f t="shared" si="0"/>
        <v>46082</v>
      </c>
      <c r="C4" t="s">
        <v>26</v>
      </c>
      <c r="D4" s="9">
        <v>100</v>
      </c>
      <c r="E4" t="str">
        <f t="shared" si="1"/>
        <v>RM 51 - RM 100</v>
      </c>
      <c r="F4" s="16" t="s">
        <v>11</v>
      </c>
      <c r="G4" t="s">
        <v>12</v>
      </c>
      <c r="H4" s="9">
        <f t="shared" si="2"/>
        <v>400</v>
      </c>
    </row>
    <row r="5" spans="1:8" x14ac:dyDescent="0.3">
      <c r="A5">
        <v>4</v>
      </c>
      <c r="B5" s="8">
        <f t="shared" si="0"/>
        <v>46082</v>
      </c>
      <c r="C5" t="s">
        <v>27</v>
      </c>
      <c r="D5" s="9">
        <v>501</v>
      </c>
      <c r="E5" t="str">
        <f t="shared" si="1"/>
        <v>Above RM 100</v>
      </c>
      <c r="F5" s="16" t="s">
        <v>11</v>
      </c>
      <c r="G5" t="s">
        <v>49</v>
      </c>
      <c r="H5" s="9">
        <f t="shared" si="2"/>
        <v>901</v>
      </c>
    </row>
    <row r="6" spans="1:8" x14ac:dyDescent="0.3">
      <c r="A6">
        <v>5</v>
      </c>
      <c r="B6" s="8">
        <f t="shared" si="0"/>
        <v>46082</v>
      </c>
      <c r="C6" t="s">
        <v>28</v>
      </c>
      <c r="D6" s="9">
        <v>14</v>
      </c>
      <c r="E6" t="str">
        <f t="shared" si="1"/>
        <v>RM 0 - RM50</v>
      </c>
      <c r="F6" s="16" t="s">
        <v>11</v>
      </c>
      <c r="G6" t="s">
        <v>16</v>
      </c>
      <c r="H6" s="9">
        <f t="shared" si="2"/>
        <v>915</v>
      </c>
    </row>
    <row r="7" spans="1:8" x14ac:dyDescent="0.3">
      <c r="A7">
        <v>6</v>
      </c>
      <c r="B7" s="8">
        <f t="shared" si="0"/>
        <v>46082</v>
      </c>
      <c r="C7" t="s">
        <v>29</v>
      </c>
      <c r="D7" s="9">
        <v>210</v>
      </c>
      <c r="E7" t="str">
        <f t="shared" si="1"/>
        <v>Above RM 100</v>
      </c>
      <c r="F7" s="16" t="s">
        <v>11</v>
      </c>
      <c r="G7" t="s">
        <v>12</v>
      </c>
      <c r="H7" s="9">
        <f t="shared" si="2"/>
        <v>1125</v>
      </c>
    </row>
    <row r="8" spans="1:8" x14ac:dyDescent="0.3">
      <c r="A8">
        <v>7</v>
      </c>
      <c r="B8" s="8">
        <f t="shared" si="0"/>
        <v>46082</v>
      </c>
      <c r="C8" t="s">
        <v>29</v>
      </c>
      <c r="D8" s="9">
        <v>200</v>
      </c>
      <c r="E8" t="str">
        <f t="shared" si="1"/>
        <v>Above RM 100</v>
      </c>
      <c r="F8" s="16" t="s">
        <v>11</v>
      </c>
      <c r="G8" t="s">
        <v>12</v>
      </c>
      <c r="H8" s="9">
        <f t="shared" si="2"/>
        <v>1325</v>
      </c>
    </row>
    <row r="9" spans="1:8" x14ac:dyDescent="0.3">
      <c r="A9">
        <v>8</v>
      </c>
      <c r="B9" s="8">
        <f t="shared" ref="B9:B15" si="3">DATE(2026,3,2)</f>
        <v>46083</v>
      </c>
      <c r="C9" t="s">
        <v>23</v>
      </c>
      <c r="D9" s="9">
        <v>200</v>
      </c>
      <c r="E9" t="str">
        <f t="shared" si="1"/>
        <v>Above RM 100</v>
      </c>
      <c r="F9" s="16" t="s">
        <v>11</v>
      </c>
      <c r="G9" t="s">
        <v>12</v>
      </c>
      <c r="H9" s="9">
        <f t="shared" si="2"/>
        <v>1525</v>
      </c>
    </row>
    <row r="10" spans="1:8" x14ac:dyDescent="0.3">
      <c r="A10">
        <v>9</v>
      </c>
      <c r="B10" s="8">
        <f t="shared" si="3"/>
        <v>46083</v>
      </c>
      <c r="C10" t="s">
        <v>30</v>
      </c>
      <c r="D10" s="9">
        <v>181</v>
      </c>
      <c r="E10" t="str">
        <f t="shared" si="1"/>
        <v>Above RM 100</v>
      </c>
      <c r="F10" s="16" t="s">
        <v>11</v>
      </c>
      <c r="G10" t="s">
        <v>12</v>
      </c>
      <c r="H10" s="9">
        <f t="shared" si="2"/>
        <v>1706</v>
      </c>
    </row>
    <row r="11" spans="1:8" x14ac:dyDescent="0.3">
      <c r="A11">
        <v>10</v>
      </c>
      <c r="B11" s="8">
        <f t="shared" si="3"/>
        <v>46083</v>
      </c>
      <c r="C11" t="s">
        <v>27</v>
      </c>
      <c r="D11" s="9">
        <v>100</v>
      </c>
      <c r="E11" t="str">
        <f t="shared" si="1"/>
        <v>RM 51 - RM 100</v>
      </c>
      <c r="F11" s="16" t="s">
        <v>11</v>
      </c>
      <c r="G11" t="s">
        <v>12</v>
      </c>
      <c r="H11" s="9">
        <f t="shared" si="2"/>
        <v>1806</v>
      </c>
    </row>
    <row r="12" spans="1:8" x14ac:dyDescent="0.3">
      <c r="A12">
        <v>11</v>
      </c>
      <c r="B12" s="8">
        <f t="shared" si="3"/>
        <v>46083</v>
      </c>
      <c r="C12" t="s">
        <v>31</v>
      </c>
      <c r="D12" s="9">
        <v>100</v>
      </c>
      <c r="E12" t="str">
        <f t="shared" si="1"/>
        <v>RM 51 - RM 100</v>
      </c>
      <c r="F12" s="16" t="s">
        <v>11</v>
      </c>
      <c r="G12" t="s">
        <v>12</v>
      </c>
      <c r="H12" s="9">
        <f t="shared" si="2"/>
        <v>1906</v>
      </c>
    </row>
    <row r="13" spans="1:8" x14ac:dyDescent="0.3">
      <c r="A13">
        <v>12</v>
      </c>
      <c r="B13" s="8">
        <f t="shared" si="3"/>
        <v>46083</v>
      </c>
      <c r="C13" t="s">
        <v>32</v>
      </c>
      <c r="D13" s="9">
        <v>50</v>
      </c>
      <c r="E13" t="str">
        <f t="shared" si="1"/>
        <v>RM 0 - RM50</v>
      </c>
      <c r="F13" s="16" t="s">
        <v>11</v>
      </c>
      <c r="G13" t="s">
        <v>12</v>
      </c>
      <c r="H13" s="9">
        <f t="shared" si="2"/>
        <v>1956</v>
      </c>
    </row>
    <row r="14" spans="1:8" x14ac:dyDescent="0.3">
      <c r="A14">
        <v>13</v>
      </c>
      <c r="B14" s="8">
        <f t="shared" si="3"/>
        <v>46083</v>
      </c>
      <c r="C14" t="s">
        <v>26</v>
      </c>
      <c r="D14" s="9">
        <v>32</v>
      </c>
      <c r="E14" t="str">
        <f t="shared" si="1"/>
        <v>RM 0 - RM50</v>
      </c>
      <c r="F14" s="16" t="s">
        <v>11</v>
      </c>
      <c r="G14" t="s">
        <v>12</v>
      </c>
      <c r="H14" s="9">
        <f t="shared" si="2"/>
        <v>1988</v>
      </c>
    </row>
    <row r="15" spans="1:8" x14ac:dyDescent="0.3">
      <c r="A15">
        <v>14</v>
      </c>
      <c r="B15" s="8">
        <f t="shared" si="3"/>
        <v>46083</v>
      </c>
      <c r="C15" t="s">
        <v>33</v>
      </c>
      <c r="D15" s="9">
        <v>21.6</v>
      </c>
      <c r="E15" t="str">
        <f t="shared" si="1"/>
        <v>RM 0 - RM50</v>
      </c>
      <c r="F15" s="16" t="s">
        <v>11</v>
      </c>
      <c r="G15" t="s">
        <v>16</v>
      </c>
      <c r="H15" s="9">
        <f t="shared" si="2"/>
        <v>2009.6</v>
      </c>
    </row>
    <row r="16" spans="1:8" x14ac:dyDescent="0.3">
      <c r="A16">
        <v>15</v>
      </c>
      <c r="B16" s="8">
        <f>DATE(2026,3,3)</f>
        <v>46084</v>
      </c>
      <c r="C16" t="s">
        <v>31</v>
      </c>
      <c r="D16" s="9">
        <v>541</v>
      </c>
      <c r="E16" t="str">
        <f t="shared" si="1"/>
        <v>Above RM 100</v>
      </c>
      <c r="F16" s="16" t="s">
        <v>11</v>
      </c>
      <c r="G16" t="s">
        <v>49</v>
      </c>
      <c r="H16" s="9">
        <f t="shared" si="2"/>
        <v>2550.6</v>
      </c>
    </row>
    <row r="17" spans="1:12" x14ac:dyDescent="0.3">
      <c r="A17">
        <v>16</v>
      </c>
      <c r="B17" s="8">
        <f>DATE(2026,3,3)</f>
        <v>46084</v>
      </c>
      <c r="C17" t="s">
        <v>34</v>
      </c>
      <c r="D17" s="9">
        <v>526</v>
      </c>
      <c r="E17" t="str">
        <f t="shared" si="1"/>
        <v>Above RM 100</v>
      </c>
      <c r="F17" s="16" t="s">
        <v>11</v>
      </c>
      <c r="G17" t="s">
        <v>12</v>
      </c>
      <c r="H17" s="9">
        <f t="shared" si="2"/>
        <v>3076.6</v>
      </c>
    </row>
    <row r="18" spans="1:12" x14ac:dyDescent="0.3">
      <c r="A18">
        <v>17</v>
      </c>
      <c r="B18" s="8">
        <f>DATE(2026,3,3)</f>
        <v>46084</v>
      </c>
      <c r="C18" t="s">
        <v>32</v>
      </c>
      <c r="D18" s="9">
        <v>100</v>
      </c>
      <c r="E18" t="str">
        <f t="shared" si="1"/>
        <v>RM 51 - RM 100</v>
      </c>
      <c r="F18" s="16" t="s">
        <v>11</v>
      </c>
      <c r="G18" t="s">
        <v>12</v>
      </c>
      <c r="H18" s="9">
        <f t="shared" si="2"/>
        <v>3176.6</v>
      </c>
    </row>
    <row r="19" spans="1:12" x14ac:dyDescent="0.3">
      <c r="A19">
        <v>18</v>
      </c>
      <c r="B19" s="8">
        <f>DATE(2026,3,3)</f>
        <v>46084</v>
      </c>
      <c r="C19" t="s">
        <v>24</v>
      </c>
      <c r="D19" s="9">
        <v>193.5</v>
      </c>
      <c r="E19" t="str">
        <f t="shared" si="1"/>
        <v>Above RM 100</v>
      </c>
      <c r="F19" s="16" t="s">
        <v>11</v>
      </c>
      <c r="G19" t="s">
        <v>12</v>
      </c>
      <c r="H19" s="9">
        <f t="shared" si="2"/>
        <v>3370.1</v>
      </c>
    </row>
    <row r="20" spans="1:12" x14ac:dyDescent="0.3">
      <c r="A20">
        <v>19</v>
      </c>
      <c r="B20" s="8">
        <f>DATE(2026,3,3)</f>
        <v>46084</v>
      </c>
      <c r="C20" t="s">
        <v>35</v>
      </c>
      <c r="D20" s="9">
        <v>100</v>
      </c>
      <c r="E20" t="str">
        <f t="shared" si="1"/>
        <v>RM 51 - RM 100</v>
      </c>
      <c r="F20" s="16" t="s">
        <v>11</v>
      </c>
      <c r="G20" t="s">
        <v>12</v>
      </c>
      <c r="H20" s="9">
        <f t="shared" si="2"/>
        <v>3470.1</v>
      </c>
    </row>
    <row r="21" spans="1:12" x14ac:dyDescent="0.3">
      <c r="A21">
        <v>20</v>
      </c>
      <c r="B21" s="8">
        <f t="shared" ref="B21:B31" si="4">DATE(2026,3,4)</f>
        <v>46085</v>
      </c>
      <c r="C21" t="s">
        <v>31</v>
      </c>
      <c r="D21" s="9">
        <v>532</v>
      </c>
      <c r="E21" t="str">
        <f t="shared" si="1"/>
        <v>Above RM 100</v>
      </c>
      <c r="F21" s="16" t="s">
        <v>11</v>
      </c>
      <c r="G21" t="s">
        <v>49</v>
      </c>
      <c r="H21" s="9">
        <f t="shared" si="2"/>
        <v>4002.1</v>
      </c>
    </row>
    <row r="22" spans="1:12" x14ac:dyDescent="0.3">
      <c r="A22">
        <v>21</v>
      </c>
      <c r="B22" s="8">
        <f t="shared" si="4"/>
        <v>46085</v>
      </c>
      <c r="C22" t="s">
        <v>32</v>
      </c>
      <c r="D22" s="9">
        <v>100</v>
      </c>
      <c r="E22" t="str">
        <f t="shared" si="1"/>
        <v>RM 51 - RM 100</v>
      </c>
      <c r="F22" s="16" t="s">
        <v>11</v>
      </c>
      <c r="G22" t="s">
        <v>53</v>
      </c>
      <c r="H22" s="9">
        <f t="shared" si="2"/>
        <v>4102.1000000000004</v>
      </c>
    </row>
    <row r="23" spans="1:12" x14ac:dyDescent="0.3">
      <c r="A23">
        <v>22</v>
      </c>
      <c r="B23" s="8">
        <f t="shared" si="4"/>
        <v>46085</v>
      </c>
      <c r="C23" t="s">
        <v>36</v>
      </c>
      <c r="D23" s="9">
        <v>165</v>
      </c>
      <c r="E23" t="str">
        <f t="shared" si="1"/>
        <v>Above RM 100</v>
      </c>
      <c r="F23" s="16" t="s">
        <v>11</v>
      </c>
      <c r="G23" t="s">
        <v>12</v>
      </c>
      <c r="H23" s="9">
        <f t="shared" si="2"/>
        <v>4267.1000000000004</v>
      </c>
    </row>
    <row r="24" spans="1:12" x14ac:dyDescent="0.3">
      <c r="A24">
        <v>23</v>
      </c>
      <c r="B24" s="8">
        <f t="shared" si="4"/>
        <v>46085</v>
      </c>
      <c r="C24" t="s">
        <v>38</v>
      </c>
      <c r="D24" s="9">
        <v>150</v>
      </c>
      <c r="E24" t="str">
        <f t="shared" si="1"/>
        <v>Above RM 100</v>
      </c>
      <c r="F24" s="16" t="s">
        <v>11</v>
      </c>
      <c r="G24" t="s">
        <v>12</v>
      </c>
      <c r="H24" s="9">
        <f t="shared" si="2"/>
        <v>4417.1000000000004</v>
      </c>
    </row>
    <row r="25" spans="1:12" x14ac:dyDescent="0.3">
      <c r="A25">
        <v>24</v>
      </c>
      <c r="B25" s="8">
        <f t="shared" si="4"/>
        <v>46085</v>
      </c>
      <c r="C25" t="s">
        <v>19</v>
      </c>
      <c r="D25" s="9">
        <v>4.4000000000000004</v>
      </c>
      <c r="E25" t="str">
        <f t="shared" si="1"/>
        <v>RM 0 - RM50</v>
      </c>
      <c r="F25" s="16" t="s">
        <v>11</v>
      </c>
      <c r="G25" t="s">
        <v>16</v>
      </c>
      <c r="H25" s="9">
        <f t="shared" si="2"/>
        <v>4421.5</v>
      </c>
    </row>
    <row r="26" spans="1:12" x14ac:dyDescent="0.3">
      <c r="A26">
        <v>25</v>
      </c>
      <c r="B26" s="8">
        <f t="shared" si="4"/>
        <v>46085</v>
      </c>
      <c r="C26" t="s">
        <v>29</v>
      </c>
      <c r="D26" s="9">
        <v>200</v>
      </c>
      <c r="E26" t="str">
        <f t="shared" si="1"/>
        <v>Above RM 100</v>
      </c>
      <c r="F26" s="16" t="s">
        <v>11</v>
      </c>
      <c r="G26" t="s">
        <v>12</v>
      </c>
      <c r="H26" s="9">
        <f t="shared" si="2"/>
        <v>4621.5</v>
      </c>
    </row>
    <row r="27" spans="1:12" x14ac:dyDescent="0.3">
      <c r="A27">
        <v>26</v>
      </c>
      <c r="B27" s="8">
        <f t="shared" si="4"/>
        <v>46085</v>
      </c>
      <c r="C27" t="s">
        <v>29</v>
      </c>
      <c r="D27" s="9">
        <v>100</v>
      </c>
      <c r="E27" t="str">
        <f t="shared" si="1"/>
        <v>RM 51 - RM 100</v>
      </c>
      <c r="F27" s="16" t="s">
        <v>11</v>
      </c>
      <c r="G27" t="s">
        <v>12</v>
      </c>
      <c r="H27" s="9">
        <f t="shared" si="2"/>
        <v>4721.5</v>
      </c>
    </row>
    <row r="28" spans="1:12" x14ac:dyDescent="0.3">
      <c r="A28">
        <v>27</v>
      </c>
      <c r="B28" s="8">
        <f t="shared" si="4"/>
        <v>46085</v>
      </c>
      <c r="C28" t="s">
        <v>30</v>
      </c>
      <c r="D28" s="9">
        <v>50</v>
      </c>
      <c r="E28" t="str">
        <f t="shared" si="1"/>
        <v>RM 0 - RM50</v>
      </c>
      <c r="F28" s="16" t="s">
        <v>11</v>
      </c>
      <c r="G28" t="s">
        <v>12</v>
      </c>
      <c r="H28" s="9">
        <f t="shared" si="2"/>
        <v>4771.5</v>
      </c>
      <c r="L28" s="9" t="s">
        <v>20</v>
      </c>
    </row>
    <row r="29" spans="1:12" x14ac:dyDescent="0.3">
      <c r="A29">
        <v>28</v>
      </c>
      <c r="B29" s="8">
        <f t="shared" si="4"/>
        <v>46085</v>
      </c>
      <c r="C29" t="s">
        <v>33</v>
      </c>
      <c r="D29" s="9">
        <v>198</v>
      </c>
      <c r="E29" t="str">
        <f t="shared" si="1"/>
        <v>Above RM 100</v>
      </c>
      <c r="F29" s="16" t="s">
        <v>11</v>
      </c>
      <c r="G29" t="s">
        <v>16</v>
      </c>
      <c r="H29" s="9">
        <f t="shared" si="2"/>
        <v>4969.5</v>
      </c>
    </row>
    <row r="30" spans="1:12" x14ac:dyDescent="0.3">
      <c r="A30">
        <v>29</v>
      </c>
      <c r="B30" s="8">
        <f t="shared" si="4"/>
        <v>46085</v>
      </c>
      <c r="C30" t="s">
        <v>33</v>
      </c>
      <c r="D30" s="9">
        <v>508</v>
      </c>
      <c r="E30" t="str">
        <f t="shared" si="1"/>
        <v>Above RM 100</v>
      </c>
      <c r="F30" s="16" t="s">
        <v>11</v>
      </c>
      <c r="G30" t="s">
        <v>16</v>
      </c>
      <c r="H30" s="9">
        <f t="shared" si="2"/>
        <v>5477.5</v>
      </c>
    </row>
    <row r="31" spans="1:12" x14ac:dyDescent="0.3">
      <c r="A31">
        <v>30</v>
      </c>
      <c r="B31" s="8">
        <f t="shared" si="4"/>
        <v>46085</v>
      </c>
      <c r="C31" t="s">
        <v>25</v>
      </c>
      <c r="D31" s="9">
        <v>282</v>
      </c>
      <c r="E31" t="str">
        <f t="shared" si="1"/>
        <v>Above RM 100</v>
      </c>
      <c r="F31" s="16" t="s">
        <v>11</v>
      </c>
      <c r="G31" t="s">
        <v>12</v>
      </c>
      <c r="H31" s="9">
        <f t="shared" si="2"/>
        <v>5759.5</v>
      </c>
    </row>
    <row r="32" spans="1:12" x14ac:dyDescent="0.3">
      <c r="A32">
        <v>31</v>
      </c>
      <c r="B32" s="8">
        <f>DATE(2026,3,5)</f>
        <v>46086</v>
      </c>
      <c r="C32" t="s">
        <v>34</v>
      </c>
      <c r="D32" s="9">
        <v>244</v>
      </c>
      <c r="E32" t="str">
        <f t="shared" si="1"/>
        <v>Above RM 100</v>
      </c>
      <c r="F32" s="16" t="s">
        <v>11</v>
      </c>
      <c r="G32" t="s">
        <v>12</v>
      </c>
      <c r="H32" s="9">
        <f t="shared" si="2"/>
        <v>6003.5</v>
      </c>
    </row>
    <row r="33" spans="1:8" x14ac:dyDescent="0.3">
      <c r="A33">
        <v>32</v>
      </c>
      <c r="B33" s="8">
        <f>DATE(2026,3,5)</f>
        <v>46086</v>
      </c>
      <c r="C33" t="s">
        <v>26</v>
      </c>
      <c r="D33" s="9">
        <v>100</v>
      </c>
      <c r="E33" t="str">
        <f t="shared" si="1"/>
        <v>RM 51 - RM 100</v>
      </c>
      <c r="F33" s="16" t="s">
        <v>11</v>
      </c>
      <c r="G33" t="s">
        <v>12</v>
      </c>
      <c r="H33" s="9">
        <f t="shared" si="2"/>
        <v>6103.5</v>
      </c>
    </row>
    <row r="34" spans="1:8" x14ac:dyDescent="0.3">
      <c r="A34">
        <v>33</v>
      </c>
      <c r="B34" s="8">
        <f>DATE(2026,3,5)</f>
        <v>46086</v>
      </c>
      <c r="C34" t="s">
        <v>19</v>
      </c>
      <c r="D34" s="9">
        <v>4</v>
      </c>
      <c r="E34" t="str">
        <f t="shared" si="1"/>
        <v>RM 0 - RM50</v>
      </c>
      <c r="F34" s="16" t="s">
        <v>11</v>
      </c>
      <c r="G34" t="s">
        <v>16</v>
      </c>
      <c r="H34" s="9">
        <f t="shared" si="2"/>
        <v>6107.5</v>
      </c>
    </row>
    <row r="35" spans="1:8" x14ac:dyDescent="0.3">
      <c r="A35">
        <v>34</v>
      </c>
      <c r="B35" s="8">
        <f t="shared" ref="B35:B41" si="5">DATE(2026,3,5)</f>
        <v>46086</v>
      </c>
      <c r="C35" t="s">
        <v>32</v>
      </c>
      <c r="D35" s="9">
        <v>100</v>
      </c>
      <c r="E35" t="str">
        <f t="shared" si="1"/>
        <v>RM 51 - RM 100</v>
      </c>
      <c r="F35" s="16" t="s">
        <v>11</v>
      </c>
      <c r="G35" t="s">
        <v>12</v>
      </c>
      <c r="H35" s="9">
        <f t="shared" ref="H35:H66" si="6">H34+D35</f>
        <v>6207.5</v>
      </c>
    </row>
    <row r="36" spans="1:8" x14ac:dyDescent="0.3">
      <c r="A36">
        <v>35</v>
      </c>
      <c r="B36" s="8">
        <f t="shared" si="5"/>
        <v>46086</v>
      </c>
      <c r="C36" t="s">
        <v>39</v>
      </c>
      <c r="D36" s="9">
        <v>150</v>
      </c>
      <c r="E36" t="str">
        <f t="shared" si="1"/>
        <v>Above RM 100</v>
      </c>
      <c r="F36" s="16" t="s">
        <v>11</v>
      </c>
      <c r="G36" t="s">
        <v>53</v>
      </c>
      <c r="H36" s="9">
        <f t="shared" si="6"/>
        <v>6357.5</v>
      </c>
    </row>
    <row r="37" spans="1:8" x14ac:dyDescent="0.3">
      <c r="A37">
        <v>36</v>
      </c>
      <c r="B37" s="8">
        <f t="shared" si="5"/>
        <v>46086</v>
      </c>
      <c r="C37" t="s">
        <v>40</v>
      </c>
      <c r="D37" s="9">
        <v>100</v>
      </c>
      <c r="E37" t="str">
        <f t="shared" si="1"/>
        <v>RM 51 - RM 100</v>
      </c>
      <c r="F37" s="16" t="s">
        <v>11</v>
      </c>
      <c r="G37" t="s">
        <v>12</v>
      </c>
      <c r="H37" s="9">
        <f t="shared" si="6"/>
        <v>6457.5</v>
      </c>
    </row>
    <row r="38" spans="1:8" x14ac:dyDescent="0.3">
      <c r="A38">
        <v>37</v>
      </c>
      <c r="B38" s="8">
        <f t="shared" si="5"/>
        <v>46086</v>
      </c>
      <c r="C38" t="s">
        <v>41</v>
      </c>
      <c r="D38" s="9">
        <v>200</v>
      </c>
      <c r="E38" t="str">
        <f t="shared" si="1"/>
        <v>Above RM 100</v>
      </c>
      <c r="F38" s="16" t="s">
        <v>11</v>
      </c>
      <c r="G38" t="s">
        <v>12</v>
      </c>
      <c r="H38" s="9">
        <f t="shared" si="6"/>
        <v>6657.5</v>
      </c>
    </row>
    <row r="39" spans="1:8" x14ac:dyDescent="0.3">
      <c r="A39">
        <v>38</v>
      </c>
      <c r="B39" s="8">
        <f t="shared" si="5"/>
        <v>46086</v>
      </c>
      <c r="C39" t="s">
        <v>19</v>
      </c>
      <c r="D39" s="9">
        <v>18</v>
      </c>
      <c r="E39" t="str">
        <f t="shared" si="1"/>
        <v>RM 0 - RM50</v>
      </c>
      <c r="F39" s="16" t="s">
        <v>11</v>
      </c>
      <c r="G39" t="s">
        <v>16</v>
      </c>
      <c r="H39" s="9">
        <f t="shared" si="6"/>
        <v>6675.5</v>
      </c>
    </row>
    <row r="40" spans="1:8" x14ac:dyDescent="0.3">
      <c r="A40">
        <v>39</v>
      </c>
      <c r="B40" s="8">
        <f t="shared" si="5"/>
        <v>46086</v>
      </c>
      <c r="C40" t="s">
        <v>30</v>
      </c>
      <c r="D40" s="9">
        <v>77.599999999999994</v>
      </c>
      <c r="E40" t="str">
        <f t="shared" si="1"/>
        <v>RM 51 - RM 100</v>
      </c>
      <c r="F40" s="16" t="s">
        <v>11</v>
      </c>
      <c r="G40" t="s">
        <v>16</v>
      </c>
      <c r="H40" s="9">
        <f t="shared" si="6"/>
        <v>6753.1</v>
      </c>
    </row>
    <row r="41" spans="1:8" x14ac:dyDescent="0.3">
      <c r="A41">
        <v>40</v>
      </c>
      <c r="B41" s="8">
        <f t="shared" si="5"/>
        <v>46086</v>
      </c>
      <c r="C41" t="s">
        <v>42</v>
      </c>
      <c r="D41" s="9">
        <v>150</v>
      </c>
      <c r="E41" t="str">
        <f t="shared" si="1"/>
        <v>Above RM 100</v>
      </c>
      <c r="F41" s="16" t="s">
        <v>11</v>
      </c>
      <c r="G41" t="s">
        <v>12</v>
      </c>
      <c r="H41" s="9">
        <f t="shared" si="6"/>
        <v>6903.1</v>
      </c>
    </row>
    <row r="42" spans="1:8" x14ac:dyDescent="0.3">
      <c r="A42">
        <v>41</v>
      </c>
      <c r="B42" s="8">
        <f t="shared" ref="B42:B51" si="7">DATE(2026,3,8)</f>
        <v>46089</v>
      </c>
      <c r="C42" t="s">
        <v>32</v>
      </c>
      <c r="D42" s="9">
        <v>50</v>
      </c>
      <c r="E42" t="str">
        <f t="shared" si="1"/>
        <v>RM 0 - RM50</v>
      </c>
      <c r="F42" s="16" t="s">
        <v>11</v>
      </c>
      <c r="G42" t="s">
        <v>12</v>
      </c>
      <c r="H42" s="9">
        <f t="shared" si="6"/>
        <v>6953.1</v>
      </c>
    </row>
    <row r="43" spans="1:8" x14ac:dyDescent="0.3">
      <c r="A43">
        <v>42</v>
      </c>
      <c r="B43" s="8">
        <f t="shared" si="7"/>
        <v>46089</v>
      </c>
      <c r="C43" t="s">
        <v>32</v>
      </c>
      <c r="D43" s="9">
        <v>100</v>
      </c>
      <c r="E43" t="str">
        <f t="shared" si="1"/>
        <v>RM 51 - RM 100</v>
      </c>
      <c r="F43" s="16" t="s">
        <v>11</v>
      </c>
      <c r="G43" t="s">
        <v>12</v>
      </c>
      <c r="H43" s="9">
        <f t="shared" si="6"/>
        <v>7053.1</v>
      </c>
    </row>
    <row r="44" spans="1:8" x14ac:dyDescent="0.3">
      <c r="A44">
        <v>43</v>
      </c>
      <c r="B44" s="8">
        <f t="shared" si="7"/>
        <v>46089</v>
      </c>
      <c r="C44" t="s">
        <v>23</v>
      </c>
      <c r="D44" s="9">
        <v>7</v>
      </c>
      <c r="E44" t="str">
        <f t="shared" si="1"/>
        <v>RM 0 - RM50</v>
      </c>
      <c r="F44" s="16" t="s">
        <v>11</v>
      </c>
      <c r="G44" t="s">
        <v>16</v>
      </c>
      <c r="H44" s="9">
        <f t="shared" si="6"/>
        <v>7060.1</v>
      </c>
    </row>
    <row r="45" spans="1:8" x14ac:dyDescent="0.3">
      <c r="A45">
        <v>44</v>
      </c>
      <c r="B45" s="8">
        <f t="shared" si="7"/>
        <v>46089</v>
      </c>
      <c r="C45" t="s">
        <v>27</v>
      </c>
      <c r="D45" s="9">
        <v>150</v>
      </c>
      <c r="E45" t="str">
        <f t="shared" si="1"/>
        <v>Above RM 100</v>
      </c>
      <c r="F45" s="16" t="s">
        <v>11</v>
      </c>
      <c r="G45" t="s">
        <v>12</v>
      </c>
      <c r="H45" s="9">
        <f t="shared" si="6"/>
        <v>7210.1</v>
      </c>
    </row>
    <row r="46" spans="1:8" x14ac:dyDescent="0.3">
      <c r="A46">
        <v>45</v>
      </c>
      <c r="B46" s="8">
        <f t="shared" si="7"/>
        <v>46089</v>
      </c>
      <c r="C46" t="s">
        <v>37</v>
      </c>
      <c r="D46" s="9">
        <v>150</v>
      </c>
      <c r="E46" t="str">
        <f t="shared" si="1"/>
        <v>Above RM 100</v>
      </c>
      <c r="F46" s="16" t="s">
        <v>11</v>
      </c>
      <c r="G46" t="s">
        <v>12</v>
      </c>
      <c r="H46" s="9">
        <f t="shared" si="6"/>
        <v>7360.1</v>
      </c>
    </row>
    <row r="47" spans="1:8" x14ac:dyDescent="0.3">
      <c r="A47">
        <v>46</v>
      </c>
      <c r="B47" s="8">
        <f t="shared" si="7"/>
        <v>46089</v>
      </c>
      <c r="C47" t="s">
        <v>29</v>
      </c>
      <c r="D47" s="9">
        <v>50</v>
      </c>
      <c r="E47" t="str">
        <f t="shared" si="1"/>
        <v>RM 0 - RM50</v>
      </c>
      <c r="F47" s="16" t="s">
        <v>11</v>
      </c>
      <c r="G47" t="s">
        <v>12</v>
      </c>
      <c r="H47" s="9">
        <f t="shared" si="6"/>
        <v>7410.1</v>
      </c>
    </row>
    <row r="48" spans="1:8" x14ac:dyDescent="0.3">
      <c r="A48">
        <v>47</v>
      </c>
      <c r="B48" s="8">
        <f t="shared" si="7"/>
        <v>46089</v>
      </c>
      <c r="C48" t="s">
        <v>29</v>
      </c>
      <c r="D48" s="9">
        <v>250</v>
      </c>
      <c r="E48" t="str">
        <f t="shared" si="1"/>
        <v>Above RM 100</v>
      </c>
      <c r="F48" s="16" t="s">
        <v>11</v>
      </c>
      <c r="G48" t="s">
        <v>12</v>
      </c>
      <c r="H48" s="9">
        <f t="shared" si="6"/>
        <v>7660.1</v>
      </c>
    </row>
    <row r="49" spans="1:12" x14ac:dyDescent="0.3">
      <c r="A49">
        <v>48</v>
      </c>
      <c r="B49" s="8">
        <f t="shared" si="7"/>
        <v>46089</v>
      </c>
      <c r="C49" t="s">
        <v>33</v>
      </c>
      <c r="D49" s="9">
        <v>495</v>
      </c>
      <c r="E49" t="str">
        <f t="shared" si="1"/>
        <v>Above RM 100</v>
      </c>
      <c r="F49" s="16" t="s">
        <v>11</v>
      </c>
      <c r="G49" t="s">
        <v>12</v>
      </c>
      <c r="H49" s="9">
        <f t="shared" si="6"/>
        <v>8155.1</v>
      </c>
    </row>
    <row r="50" spans="1:12" x14ac:dyDescent="0.3">
      <c r="A50">
        <v>49</v>
      </c>
      <c r="B50" s="8">
        <f t="shared" si="7"/>
        <v>46089</v>
      </c>
      <c r="C50" t="s">
        <v>40</v>
      </c>
      <c r="D50" s="9">
        <v>20</v>
      </c>
      <c r="E50" t="str">
        <f t="shared" si="1"/>
        <v>RM 0 - RM50</v>
      </c>
      <c r="F50" s="16" t="s">
        <v>11</v>
      </c>
      <c r="G50" t="s">
        <v>12</v>
      </c>
      <c r="H50" s="9">
        <f t="shared" si="6"/>
        <v>8175.1</v>
      </c>
    </row>
    <row r="51" spans="1:12" x14ac:dyDescent="0.3">
      <c r="A51">
        <v>50</v>
      </c>
      <c r="B51" s="8">
        <f t="shared" si="7"/>
        <v>46089</v>
      </c>
      <c r="C51" t="s">
        <v>30</v>
      </c>
      <c r="D51" s="9">
        <v>34</v>
      </c>
      <c r="E51" t="str">
        <f t="shared" si="1"/>
        <v>RM 0 - RM50</v>
      </c>
      <c r="F51" s="16" t="s">
        <v>11</v>
      </c>
      <c r="G51" t="s">
        <v>16</v>
      </c>
      <c r="H51" s="9">
        <f t="shared" si="6"/>
        <v>8209.1</v>
      </c>
    </row>
    <row r="52" spans="1:12" x14ac:dyDescent="0.3">
      <c r="A52">
        <v>51</v>
      </c>
      <c r="B52" s="8">
        <f>DATE(2026,3,9)</f>
        <v>46090</v>
      </c>
      <c r="C52" t="s">
        <v>29</v>
      </c>
      <c r="D52" s="9">
        <v>150</v>
      </c>
      <c r="E52" t="str">
        <f t="shared" si="1"/>
        <v>Above RM 100</v>
      </c>
      <c r="F52" s="16" t="s">
        <v>11</v>
      </c>
      <c r="G52" t="s">
        <v>12</v>
      </c>
      <c r="H52" s="9">
        <f t="shared" si="6"/>
        <v>8359.1</v>
      </c>
    </row>
    <row r="53" spans="1:12" x14ac:dyDescent="0.3">
      <c r="A53">
        <v>52</v>
      </c>
      <c r="B53" s="8">
        <f t="shared" ref="B53:B61" si="8">DATE(2026,3,9)</f>
        <v>46090</v>
      </c>
      <c r="C53" t="s">
        <v>30</v>
      </c>
      <c r="D53" s="9">
        <v>278.2</v>
      </c>
      <c r="E53" t="str">
        <f t="shared" si="1"/>
        <v>Above RM 100</v>
      </c>
      <c r="F53" s="16" t="s">
        <v>11</v>
      </c>
      <c r="G53" t="s">
        <v>16</v>
      </c>
      <c r="H53" s="9">
        <f t="shared" si="6"/>
        <v>8637.3000000000011</v>
      </c>
    </row>
    <row r="54" spans="1:12" x14ac:dyDescent="0.3">
      <c r="A54">
        <v>53</v>
      </c>
      <c r="B54" s="8">
        <f t="shared" si="8"/>
        <v>46090</v>
      </c>
      <c r="C54" t="s">
        <v>30</v>
      </c>
      <c r="D54" s="9">
        <v>50</v>
      </c>
      <c r="E54" t="str">
        <f t="shared" si="1"/>
        <v>RM 0 - RM50</v>
      </c>
      <c r="F54" s="16" t="s">
        <v>11</v>
      </c>
      <c r="G54" t="s">
        <v>12</v>
      </c>
      <c r="H54" s="9">
        <f t="shared" si="6"/>
        <v>8687.3000000000011</v>
      </c>
      <c r="L54" s="9" t="s">
        <v>20</v>
      </c>
    </row>
    <row r="55" spans="1:12" x14ac:dyDescent="0.3">
      <c r="A55">
        <v>54</v>
      </c>
      <c r="B55" s="8">
        <f t="shared" si="8"/>
        <v>46090</v>
      </c>
      <c r="C55" t="s">
        <v>29</v>
      </c>
      <c r="D55" s="9">
        <v>891</v>
      </c>
      <c r="E55" t="str">
        <f t="shared" si="1"/>
        <v>Above RM 100</v>
      </c>
      <c r="F55" s="16" t="s">
        <v>11</v>
      </c>
      <c r="G55" t="s">
        <v>49</v>
      </c>
      <c r="H55" s="9">
        <f t="shared" si="6"/>
        <v>9578.3000000000011</v>
      </c>
    </row>
    <row r="56" spans="1:12" x14ac:dyDescent="0.3">
      <c r="A56">
        <v>55</v>
      </c>
      <c r="B56" s="8">
        <f t="shared" si="8"/>
        <v>46090</v>
      </c>
      <c r="C56" t="s">
        <v>32</v>
      </c>
      <c r="D56" s="9">
        <v>100</v>
      </c>
      <c r="E56" t="str">
        <f t="shared" si="1"/>
        <v>RM 51 - RM 100</v>
      </c>
      <c r="F56" s="16" t="s">
        <v>11</v>
      </c>
      <c r="G56" t="s">
        <v>12</v>
      </c>
      <c r="H56" s="9">
        <f t="shared" si="6"/>
        <v>9678.3000000000011</v>
      </c>
    </row>
    <row r="57" spans="1:12" x14ac:dyDescent="0.3">
      <c r="A57">
        <v>56</v>
      </c>
      <c r="B57" s="8">
        <f t="shared" si="8"/>
        <v>46090</v>
      </c>
      <c r="C57" t="s">
        <v>19</v>
      </c>
      <c r="D57" s="9">
        <v>1.9</v>
      </c>
      <c r="E57" t="str">
        <f t="shared" si="1"/>
        <v>RM 0 - RM50</v>
      </c>
      <c r="F57" s="16" t="s">
        <v>11</v>
      </c>
      <c r="G57" t="s">
        <v>16</v>
      </c>
      <c r="H57" s="9">
        <f t="shared" si="6"/>
        <v>9680.2000000000007</v>
      </c>
    </row>
    <row r="58" spans="1:12" x14ac:dyDescent="0.3">
      <c r="A58">
        <v>57</v>
      </c>
      <c r="B58" s="8">
        <f t="shared" si="8"/>
        <v>46090</v>
      </c>
      <c r="C58" t="s">
        <v>23</v>
      </c>
      <c r="D58" s="9">
        <v>100</v>
      </c>
      <c r="E58" t="str">
        <f t="shared" si="1"/>
        <v>RM 51 - RM 100</v>
      </c>
      <c r="F58" s="16" t="s">
        <v>11</v>
      </c>
      <c r="G58" t="s">
        <v>53</v>
      </c>
      <c r="H58" s="9">
        <f t="shared" si="6"/>
        <v>9780.2000000000007</v>
      </c>
    </row>
    <row r="59" spans="1:12" x14ac:dyDescent="0.3">
      <c r="A59">
        <v>58</v>
      </c>
      <c r="B59" s="8">
        <f t="shared" si="8"/>
        <v>46090</v>
      </c>
      <c r="C59" t="s">
        <v>36</v>
      </c>
      <c r="D59" s="9">
        <v>100</v>
      </c>
      <c r="E59" t="str">
        <f t="shared" si="1"/>
        <v>RM 51 - RM 100</v>
      </c>
      <c r="F59" s="16" t="s">
        <v>11</v>
      </c>
      <c r="G59" t="s">
        <v>12</v>
      </c>
      <c r="H59" s="9">
        <f t="shared" si="6"/>
        <v>9880.2000000000007</v>
      </c>
    </row>
    <row r="60" spans="1:12" x14ac:dyDescent="0.3">
      <c r="A60">
        <v>59</v>
      </c>
      <c r="B60" s="8">
        <f t="shared" si="8"/>
        <v>46090</v>
      </c>
      <c r="C60" t="s">
        <v>23</v>
      </c>
      <c r="D60" s="9">
        <v>350</v>
      </c>
      <c r="E60" t="str">
        <f t="shared" si="1"/>
        <v>Above RM 100</v>
      </c>
      <c r="F60" s="16" t="s">
        <v>11</v>
      </c>
      <c r="G60" t="s">
        <v>16</v>
      </c>
      <c r="H60" s="9">
        <f t="shared" si="6"/>
        <v>10230.200000000001</v>
      </c>
    </row>
    <row r="61" spans="1:12" x14ac:dyDescent="0.3">
      <c r="A61">
        <v>60</v>
      </c>
      <c r="B61" s="8">
        <f t="shared" si="8"/>
        <v>46090</v>
      </c>
      <c r="C61" t="s">
        <v>33</v>
      </c>
      <c r="D61" s="9">
        <v>150</v>
      </c>
      <c r="E61" t="str">
        <f t="shared" si="1"/>
        <v>Above RM 100</v>
      </c>
      <c r="F61" s="16" t="s">
        <v>11</v>
      </c>
      <c r="G61" t="s">
        <v>12</v>
      </c>
      <c r="H61" s="9">
        <f t="shared" si="6"/>
        <v>10380.200000000001</v>
      </c>
    </row>
    <row r="62" spans="1:12" x14ac:dyDescent="0.3">
      <c r="A62">
        <v>61</v>
      </c>
      <c r="B62" s="8">
        <f>DATE(2026,3,10)</f>
        <v>46091</v>
      </c>
      <c r="C62" t="s">
        <v>34</v>
      </c>
      <c r="D62" s="9">
        <v>100</v>
      </c>
      <c r="E62" t="str">
        <f t="shared" si="1"/>
        <v>RM 51 - RM 100</v>
      </c>
      <c r="F62" s="16" t="s">
        <v>11</v>
      </c>
      <c r="G62" t="s">
        <v>12</v>
      </c>
      <c r="H62" s="9">
        <f t="shared" si="6"/>
        <v>10480.200000000001</v>
      </c>
    </row>
    <row r="63" spans="1:12" x14ac:dyDescent="0.3">
      <c r="A63">
        <v>62</v>
      </c>
      <c r="B63" s="8">
        <f>DATE(2026,3,10)</f>
        <v>46091</v>
      </c>
      <c r="C63" t="s">
        <v>32</v>
      </c>
      <c r="D63" s="9">
        <v>100</v>
      </c>
      <c r="E63" t="str">
        <f t="shared" si="1"/>
        <v>RM 51 - RM 100</v>
      </c>
      <c r="F63" s="16" t="s">
        <v>11</v>
      </c>
      <c r="G63" t="s">
        <v>12</v>
      </c>
      <c r="H63" s="9">
        <f t="shared" si="6"/>
        <v>10580.2</v>
      </c>
    </row>
    <row r="64" spans="1:12" x14ac:dyDescent="0.3">
      <c r="A64">
        <v>63</v>
      </c>
      <c r="B64" s="8">
        <f>DATE(2026,3,10)</f>
        <v>46091</v>
      </c>
      <c r="C64" t="s">
        <v>27</v>
      </c>
      <c r="D64" s="9">
        <v>90</v>
      </c>
      <c r="E64" t="str">
        <f t="shared" si="1"/>
        <v>RM 51 - RM 100</v>
      </c>
      <c r="F64" s="16" t="s">
        <v>11</v>
      </c>
      <c r="G64" t="s">
        <v>16</v>
      </c>
      <c r="H64" s="9">
        <f t="shared" si="6"/>
        <v>10670.2</v>
      </c>
    </row>
    <row r="65" spans="1:8" x14ac:dyDescent="0.3">
      <c r="A65">
        <v>64</v>
      </c>
      <c r="B65" s="8">
        <f t="shared" ref="B65:B67" si="9">DATE(2026,3,10)</f>
        <v>46091</v>
      </c>
      <c r="C65" t="s">
        <v>38</v>
      </c>
      <c r="D65" s="9">
        <v>200</v>
      </c>
      <c r="E65" t="str">
        <f t="shared" si="1"/>
        <v>Above RM 100</v>
      </c>
      <c r="F65" s="16" t="s">
        <v>11</v>
      </c>
      <c r="G65" t="s">
        <v>12</v>
      </c>
      <c r="H65" s="9">
        <f t="shared" si="6"/>
        <v>10870.2</v>
      </c>
    </row>
    <row r="66" spans="1:8" x14ac:dyDescent="0.3">
      <c r="A66">
        <v>65</v>
      </c>
      <c r="B66" s="8">
        <f t="shared" si="9"/>
        <v>46091</v>
      </c>
      <c r="C66" t="s">
        <v>19</v>
      </c>
      <c r="D66" s="9">
        <v>29.8</v>
      </c>
      <c r="E66" t="str">
        <f t="shared" si="1"/>
        <v>RM 0 - RM50</v>
      </c>
      <c r="F66" s="16" t="s">
        <v>11</v>
      </c>
      <c r="G66" t="s">
        <v>16</v>
      </c>
      <c r="H66" s="9">
        <f t="shared" si="6"/>
        <v>10900</v>
      </c>
    </row>
    <row r="67" spans="1:8" x14ac:dyDescent="0.3">
      <c r="A67">
        <v>66</v>
      </c>
      <c r="B67" s="8">
        <f t="shared" si="9"/>
        <v>46091</v>
      </c>
      <c r="C67" t="s">
        <v>29</v>
      </c>
      <c r="D67" s="9">
        <v>250</v>
      </c>
      <c r="E67" t="str">
        <f t="shared" ref="E67:E125" si="10">IF(D67&lt;=50,"RM 0 - RM50",IF(D67&lt;=100,"RM 51 - RM 100","Above RM 100"))</f>
        <v>Above RM 100</v>
      </c>
      <c r="F67" s="16" t="s">
        <v>11</v>
      </c>
      <c r="G67" t="s">
        <v>12</v>
      </c>
      <c r="H67" s="9">
        <f t="shared" ref="H67:H130" si="11">H66+D67</f>
        <v>11150</v>
      </c>
    </row>
    <row r="68" spans="1:8" x14ac:dyDescent="0.3">
      <c r="A68">
        <v>67</v>
      </c>
      <c r="B68" s="8">
        <f t="shared" ref="B68:B73" si="12">DATE(2026,3,11)</f>
        <v>46092</v>
      </c>
      <c r="C68" t="s">
        <v>32</v>
      </c>
      <c r="D68" s="9">
        <v>840</v>
      </c>
      <c r="E68" t="str">
        <f t="shared" si="10"/>
        <v>Above RM 100</v>
      </c>
      <c r="F68" s="16" t="s">
        <v>11</v>
      </c>
      <c r="G68" t="s">
        <v>49</v>
      </c>
      <c r="H68" s="9">
        <f t="shared" si="11"/>
        <v>11990</v>
      </c>
    </row>
    <row r="69" spans="1:8" x14ac:dyDescent="0.3">
      <c r="A69">
        <v>68</v>
      </c>
      <c r="B69" s="8">
        <f t="shared" si="12"/>
        <v>46092</v>
      </c>
      <c r="C69" t="s">
        <v>26</v>
      </c>
      <c r="D69" s="9">
        <v>100</v>
      </c>
      <c r="E69" t="str">
        <f t="shared" si="10"/>
        <v>RM 51 - RM 100</v>
      </c>
      <c r="F69" s="16" t="s">
        <v>11</v>
      </c>
      <c r="G69" t="s">
        <v>12</v>
      </c>
      <c r="H69" s="9">
        <f t="shared" si="11"/>
        <v>12090</v>
      </c>
    </row>
    <row r="70" spans="1:8" x14ac:dyDescent="0.3">
      <c r="A70">
        <v>69</v>
      </c>
      <c r="B70" s="8">
        <f t="shared" si="12"/>
        <v>46092</v>
      </c>
      <c r="C70" t="s">
        <v>38</v>
      </c>
      <c r="D70" s="9">
        <v>200</v>
      </c>
      <c r="E70" t="str">
        <f t="shared" si="10"/>
        <v>Above RM 100</v>
      </c>
      <c r="F70" s="16" t="s">
        <v>11</v>
      </c>
      <c r="G70" t="s">
        <v>12</v>
      </c>
      <c r="H70" s="9">
        <f t="shared" si="11"/>
        <v>12290</v>
      </c>
    </row>
    <row r="71" spans="1:8" x14ac:dyDescent="0.3">
      <c r="A71">
        <v>70</v>
      </c>
      <c r="B71" s="8">
        <f t="shared" si="12"/>
        <v>46092</v>
      </c>
      <c r="C71" t="s">
        <v>27</v>
      </c>
      <c r="D71" s="9">
        <v>654.4</v>
      </c>
      <c r="E71" t="str">
        <f t="shared" si="10"/>
        <v>Above RM 100</v>
      </c>
      <c r="F71" s="16" t="s">
        <v>11</v>
      </c>
      <c r="G71" t="s">
        <v>49</v>
      </c>
      <c r="H71" s="9">
        <f t="shared" si="11"/>
        <v>12944.4</v>
      </c>
    </row>
    <row r="72" spans="1:8" x14ac:dyDescent="0.3">
      <c r="A72">
        <v>71</v>
      </c>
      <c r="B72" s="8">
        <f t="shared" si="12"/>
        <v>46092</v>
      </c>
      <c r="C72" t="s">
        <v>23</v>
      </c>
      <c r="D72" s="9">
        <v>100</v>
      </c>
      <c r="E72" t="str">
        <f t="shared" si="10"/>
        <v>RM 51 - RM 100</v>
      </c>
      <c r="F72" s="16" t="s">
        <v>11</v>
      </c>
      <c r="G72" t="s">
        <v>12</v>
      </c>
      <c r="H72" s="9">
        <f t="shared" si="11"/>
        <v>13044.4</v>
      </c>
    </row>
    <row r="73" spans="1:8" x14ac:dyDescent="0.3">
      <c r="A73">
        <v>72</v>
      </c>
      <c r="B73" s="8">
        <f t="shared" si="12"/>
        <v>46092</v>
      </c>
      <c r="C73" t="s">
        <v>23</v>
      </c>
      <c r="D73" s="9">
        <v>200</v>
      </c>
      <c r="E73" t="str">
        <f t="shared" si="10"/>
        <v>Above RM 100</v>
      </c>
      <c r="F73" s="16" t="s">
        <v>11</v>
      </c>
      <c r="G73" t="s">
        <v>12</v>
      </c>
      <c r="H73" s="9">
        <f t="shared" si="11"/>
        <v>13244.4</v>
      </c>
    </row>
    <row r="74" spans="1:8" x14ac:dyDescent="0.3">
      <c r="A74">
        <v>73</v>
      </c>
      <c r="B74" s="8">
        <f t="shared" ref="B74:B83" si="13">DATE(2026,3,12)</f>
        <v>46093</v>
      </c>
      <c r="C74" t="s">
        <v>32</v>
      </c>
      <c r="D74" s="9">
        <v>1160</v>
      </c>
      <c r="E74" t="str">
        <f t="shared" si="10"/>
        <v>Above RM 100</v>
      </c>
      <c r="F74" s="16" t="s">
        <v>11</v>
      </c>
      <c r="G74" t="s">
        <v>49</v>
      </c>
      <c r="H74" s="9">
        <f t="shared" si="11"/>
        <v>14404.4</v>
      </c>
    </row>
    <row r="75" spans="1:8" x14ac:dyDescent="0.3">
      <c r="A75">
        <v>74</v>
      </c>
      <c r="B75" s="8">
        <f t="shared" si="13"/>
        <v>46093</v>
      </c>
      <c r="C75" t="s">
        <v>27</v>
      </c>
      <c r="D75" s="9">
        <v>66</v>
      </c>
      <c r="E75" t="str">
        <f t="shared" si="10"/>
        <v>RM 51 - RM 100</v>
      </c>
      <c r="F75" s="16" t="s">
        <v>11</v>
      </c>
      <c r="G75" t="s">
        <v>21</v>
      </c>
      <c r="H75" s="9">
        <f t="shared" si="11"/>
        <v>14470.4</v>
      </c>
    </row>
    <row r="76" spans="1:8" x14ac:dyDescent="0.3">
      <c r="A76">
        <v>75</v>
      </c>
      <c r="B76" s="8">
        <f t="shared" si="13"/>
        <v>46093</v>
      </c>
      <c r="C76" t="s">
        <v>23</v>
      </c>
      <c r="D76" s="9">
        <v>78.5</v>
      </c>
      <c r="E76" t="str">
        <f t="shared" si="10"/>
        <v>RM 51 - RM 100</v>
      </c>
      <c r="F76" s="16" t="s">
        <v>11</v>
      </c>
      <c r="G76" t="s">
        <v>21</v>
      </c>
      <c r="H76" s="9">
        <f t="shared" si="11"/>
        <v>14548.9</v>
      </c>
    </row>
    <row r="77" spans="1:8" x14ac:dyDescent="0.3">
      <c r="A77">
        <v>76</v>
      </c>
      <c r="B77" s="8">
        <f t="shared" si="13"/>
        <v>46093</v>
      </c>
      <c r="C77" t="s">
        <v>23</v>
      </c>
      <c r="D77" s="9">
        <v>100</v>
      </c>
      <c r="E77" t="str">
        <f t="shared" si="10"/>
        <v>RM 51 - RM 100</v>
      </c>
      <c r="F77" s="16" t="s">
        <v>11</v>
      </c>
      <c r="G77" t="s">
        <v>12</v>
      </c>
      <c r="H77" s="9">
        <f t="shared" si="11"/>
        <v>14648.9</v>
      </c>
    </row>
    <row r="78" spans="1:8" x14ac:dyDescent="0.3">
      <c r="A78">
        <v>77</v>
      </c>
      <c r="B78" s="8">
        <f t="shared" si="13"/>
        <v>46093</v>
      </c>
      <c r="C78" t="s">
        <v>28</v>
      </c>
      <c r="D78" s="9">
        <v>50</v>
      </c>
      <c r="E78" t="str">
        <f t="shared" si="10"/>
        <v>RM 0 - RM50</v>
      </c>
      <c r="F78" s="16" t="s">
        <v>11</v>
      </c>
      <c r="G78" t="s">
        <v>17</v>
      </c>
      <c r="H78" s="9">
        <f t="shared" si="11"/>
        <v>14698.9</v>
      </c>
    </row>
    <row r="79" spans="1:8" x14ac:dyDescent="0.3">
      <c r="A79">
        <v>78</v>
      </c>
      <c r="B79" s="8">
        <f t="shared" si="13"/>
        <v>46093</v>
      </c>
      <c r="C79" t="s">
        <v>29</v>
      </c>
      <c r="D79" s="9">
        <v>346.9</v>
      </c>
      <c r="E79" t="str">
        <f t="shared" si="10"/>
        <v>Above RM 100</v>
      </c>
      <c r="F79" s="16" t="s">
        <v>11</v>
      </c>
      <c r="G79" t="s">
        <v>12</v>
      </c>
      <c r="H79" s="9">
        <f t="shared" si="11"/>
        <v>15045.8</v>
      </c>
    </row>
    <row r="80" spans="1:8" x14ac:dyDescent="0.3">
      <c r="A80">
        <v>79</v>
      </c>
      <c r="B80" s="8">
        <f t="shared" si="13"/>
        <v>46093</v>
      </c>
      <c r="C80" t="s">
        <v>42</v>
      </c>
      <c r="D80" s="9">
        <v>200</v>
      </c>
      <c r="E80" t="str">
        <f t="shared" si="10"/>
        <v>Above RM 100</v>
      </c>
      <c r="F80" s="16" t="s">
        <v>11</v>
      </c>
      <c r="G80" t="s">
        <v>12</v>
      </c>
      <c r="H80" s="9">
        <f t="shared" si="11"/>
        <v>15245.8</v>
      </c>
    </row>
    <row r="81" spans="1:8" x14ac:dyDescent="0.3">
      <c r="A81">
        <v>80</v>
      </c>
      <c r="B81" s="8">
        <f t="shared" si="13"/>
        <v>46093</v>
      </c>
      <c r="C81" t="s">
        <v>26</v>
      </c>
      <c r="D81" s="9">
        <v>320</v>
      </c>
      <c r="E81" t="str">
        <f t="shared" si="10"/>
        <v>Above RM 100</v>
      </c>
      <c r="F81" s="16" t="s">
        <v>11</v>
      </c>
      <c r="G81" t="s">
        <v>16</v>
      </c>
      <c r="H81" s="9">
        <f t="shared" si="11"/>
        <v>15565.8</v>
      </c>
    </row>
    <row r="82" spans="1:8" x14ac:dyDescent="0.3">
      <c r="A82">
        <v>81</v>
      </c>
      <c r="B82" s="8">
        <f t="shared" si="13"/>
        <v>46093</v>
      </c>
      <c r="C82" t="s">
        <v>33</v>
      </c>
      <c r="D82" s="9">
        <v>200</v>
      </c>
      <c r="E82" t="str">
        <f t="shared" si="10"/>
        <v>Above RM 100</v>
      </c>
      <c r="F82" s="16" t="s">
        <v>11</v>
      </c>
      <c r="G82" t="s">
        <v>12</v>
      </c>
      <c r="H82" s="9">
        <f t="shared" si="11"/>
        <v>15765.8</v>
      </c>
    </row>
    <row r="83" spans="1:8" x14ac:dyDescent="0.3">
      <c r="A83">
        <v>82</v>
      </c>
      <c r="B83" s="8">
        <f t="shared" si="13"/>
        <v>46093</v>
      </c>
      <c r="C83" t="s">
        <v>33</v>
      </c>
      <c r="D83" s="9">
        <v>323</v>
      </c>
      <c r="E83" t="str">
        <f t="shared" si="10"/>
        <v>Above RM 100</v>
      </c>
      <c r="F83" s="16" t="s">
        <v>11</v>
      </c>
      <c r="G83" t="s">
        <v>12</v>
      </c>
      <c r="H83" s="9">
        <f t="shared" si="11"/>
        <v>16088.8</v>
      </c>
    </row>
    <row r="84" spans="1:8" x14ac:dyDescent="0.3">
      <c r="A84">
        <v>83</v>
      </c>
      <c r="B84" s="8">
        <f>DATE(2026,3,14)</f>
        <v>46095</v>
      </c>
      <c r="C84" t="s">
        <v>23</v>
      </c>
      <c r="D84" s="9">
        <v>4.5</v>
      </c>
      <c r="E84" t="str">
        <f t="shared" si="10"/>
        <v>RM 0 - RM50</v>
      </c>
      <c r="F84" s="16" t="s">
        <v>11</v>
      </c>
      <c r="G84" t="s">
        <v>53</v>
      </c>
      <c r="H84" s="9">
        <f t="shared" si="11"/>
        <v>16093.3</v>
      </c>
    </row>
    <row r="85" spans="1:8" x14ac:dyDescent="0.3">
      <c r="A85">
        <v>84</v>
      </c>
      <c r="B85" s="8">
        <f t="shared" ref="B85:B91" si="14">DATE(2026,3,15)</f>
        <v>46096</v>
      </c>
      <c r="C85" t="s">
        <v>31</v>
      </c>
      <c r="D85" s="9">
        <v>676.8</v>
      </c>
      <c r="E85" t="str">
        <f t="shared" si="10"/>
        <v>Above RM 100</v>
      </c>
      <c r="F85" s="16" t="s">
        <v>11</v>
      </c>
      <c r="G85" t="s">
        <v>49</v>
      </c>
      <c r="H85" s="9">
        <f t="shared" si="11"/>
        <v>16770.099999999999</v>
      </c>
    </row>
    <row r="86" spans="1:8" x14ac:dyDescent="0.3">
      <c r="A86">
        <v>85</v>
      </c>
      <c r="B86" s="8">
        <f t="shared" si="14"/>
        <v>46096</v>
      </c>
      <c r="C86" t="s">
        <v>45</v>
      </c>
      <c r="D86" s="9">
        <v>200</v>
      </c>
      <c r="E86" t="str">
        <f t="shared" si="10"/>
        <v>Above RM 100</v>
      </c>
      <c r="F86" s="16" t="s">
        <v>11</v>
      </c>
      <c r="G86" t="s">
        <v>12</v>
      </c>
      <c r="H86" s="9">
        <f t="shared" si="11"/>
        <v>16970.099999999999</v>
      </c>
    </row>
    <row r="87" spans="1:8" x14ac:dyDescent="0.3">
      <c r="A87">
        <v>86</v>
      </c>
      <c r="B87" s="8">
        <f t="shared" si="14"/>
        <v>46096</v>
      </c>
      <c r="C87" t="s">
        <v>41</v>
      </c>
      <c r="D87" s="9">
        <v>100</v>
      </c>
      <c r="E87" t="str">
        <f t="shared" si="10"/>
        <v>RM 51 - RM 100</v>
      </c>
      <c r="F87" s="16" t="s">
        <v>11</v>
      </c>
      <c r="G87" t="s">
        <v>12</v>
      </c>
      <c r="H87" s="9">
        <f t="shared" si="11"/>
        <v>17070.099999999999</v>
      </c>
    </row>
    <row r="88" spans="1:8" x14ac:dyDescent="0.3">
      <c r="A88">
        <v>87</v>
      </c>
      <c r="B88" s="8">
        <f t="shared" si="14"/>
        <v>46096</v>
      </c>
      <c r="C88" t="s">
        <v>33</v>
      </c>
      <c r="D88" s="9">
        <v>200</v>
      </c>
      <c r="E88" t="str">
        <f t="shared" si="10"/>
        <v>Above RM 100</v>
      </c>
      <c r="F88" s="16" t="s">
        <v>11</v>
      </c>
      <c r="G88" t="s">
        <v>12</v>
      </c>
      <c r="H88" s="9">
        <f t="shared" si="11"/>
        <v>17270.099999999999</v>
      </c>
    </row>
    <row r="89" spans="1:8" x14ac:dyDescent="0.3">
      <c r="A89">
        <v>88</v>
      </c>
      <c r="B89" s="8">
        <f t="shared" si="14"/>
        <v>46096</v>
      </c>
      <c r="C89" t="s">
        <v>32</v>
      </c>
      <c r="D89" s="9">
        <v>100</v>
      </c>
      <c r="E89" t="str">
        <f t="shared" si="10"/>
        <v>RM 51 - RM 100</v>
      </c>
      <c r="F89" s="16" t="s">
        <v>11</v>
      </c>
      <c r="G89" t="s">
        <v>12</v>
      </c>
      <c r="H89" s="9">
        <f t="shared" si="11"/>
        <v>17370.099999999999</v>
      </c>
    </row>
    <row r="90" spans="1:8" x14ac:dyDescent="0.3">
      <c r="A90">
        <v>89</v>
      </c>
      <c r="B90" s="8">
        <f t="shared" si="14"/>
        <v>46096</v>
      </c>
      <c r="C90" t="s">
        <v>36</v>
      </c>
      <c r="D90" s="9">
        <v>50</v>
      </c>
      <c r="E90" t="str">
        <f t="shared" si="10"/>
        <v>RM 0 - RM50</v>
      </c>
      <c r="F90" s="16" t="s">
        <v>11</v>
      </c>
      <c r="G90" t="s">
        <v>12</v>
      </c>
      <c r="H90" s="9">
        <f t="shared" si="11"/>
        <v>17420.099999999999</v>
      </c>
    </row>
    <row r="91" spans="1:8" x14ac:dyDescent="0.3">
      <c r="A91">
        <v>90</v>
      </c>
      <c r="B91" s="8">
        <f t="shared" si="14"/>
        <v>46096</v>
      </c>
      <c r="C91" t="s">
        <v>40</v>
      </c>
      <c r="D91" s="9">
        <v>7</v>
      </c>
      <c r="E91" t="str">
        <f t="shared" si="10"/>
        <v>RM 0 - RM50</v>
      </c>
      <c r="F91" s="16" t="s">
        <v>11</v>
      </c>
      <c r="G91" t="s">
        <v>16</v>
      </c>
      <c r="H91" s="9">
        <f t="shared" si="11"/>
        <v>17427.099999999999</v>
      </c>
    </row>
    <row r="92" spans="1:8" x14ac:dyDescent="0.3">
      <c r="A92">
        <v>91</v>
      </c>
      <c r="B92" s="8">
        <f>DATE(2026,3,16)</f>
        <v>46097</v>
      </c>
      <c r="C92" t="s">
        <v>34</v>
      </c>
      <c r="D92" s="9">
        <v>100</v>
      </c>
      <c r="E92" t="str">
        <f t="shared" si="10"/>
        <v>RM 51 - RM 100</v>
      </c>
      <c r="F92" s="16" t="s">
        <v>11</v>
      </c>
      <c r="G92" t="s">
        <v>12</v>
      </c>
      <c r="H92" s="9">
        <f t="shared" si="11"/>
        <v>17527.099999999999</v>
      </c>
    </row>
    <row r="93" spans="1:8" x14ac:dyDescent="0.3">
      <c r="A93">
        <v>92</v>
      </c>
      <c r="B93" s="8">
        <f t="shared" ref="B93:B96" si="15">DATE(2026,3,16)</f>
        <v>46097</v>
      </c>
      <c r="C93" t="s">
        <v>39</v>
      </c>
      <c r="D93" s="9">
        <v>150</v>
      </c>
      <c r="E93" t="str">
        <f t="shared" si="10"/>
        <v>Above RM 100</v>
      </c>
      <c r="F93" s="16" t="s">
        <v>11</v>
      </c>
      <c r="G93" t="s">
        <v>12</v>
      </c>
      <c r="H93" s="9">
        <f t="shared" si="11"/>
        <v>17677.099999999999</v>
      </c>
    </row>
    <row r="94" spans="1:8" x14ac:dyDescent="0.3">
      <c r="A94">
        <v>93</v>
      </c>
      <c r="B94" s="8">
        <f t="shared" si="15"/>
        <v>46097</v>
      </c>
      <c r="C94" t="s">
        <v>32</v>
      </c>
      <c r="D94" s="9">
        <v>1350</v>
      </c>
      <c r="E94" t="str">
        <f t="shared" si="10"/>
        <v>Above RM 100</v>
      </c>
      <c r="F94" s="16" t="s">
        <v>11</v>
      </c>
      <c r="G94" t="s">
        <v>49</v>
      </c>
      <c r="H94" s="9">
        <f t="shared" si="11"/>
        <v>19027.099999999999</v>
      </c>
    </row>
    <row r="95" spans="1:8" x14ac:dyDescent="0.3">
      <c r="A95">
        <v>94</v>
      </c>
      <c r="B95" s="8">
        <f>DATE(2026,3,16)</f>
        <v>46097</v>
      </c>
      <c r="C95" t="s">
        <v>29</v>
      </c>
      <c r="D95" s="9">
        <v>200</v>
      </c>
      <c r="E95" t="str">
        <f t="shared" si="10"/>
        <v>Above RM 100</v>
      </c>
      <c r="F95" s="16" t="s">
        <v>11</v>
      </c>
      <c r="G95" t="s">
        <v>12</v>
      </c>
      <c r="H95" s="9">
        <f t="shared" si="11"/>
        <v>19227.099999999999</v>
      </c>
    </row>
    <row r="96" spans="1:8" x14ac:dyDescent="0.3">
      <c r="A96">
        <v>95</v>
      </c>
      <c r="B96" s="8">
        <f t="shared" si="15"/>
        <v>46097</v>
      </c>
      <c r="C96" t="s">
        <v>29</v>
      </c>
      <c r="D96" s="9">
        <v>100</v>
      </c>
      <c r="E96" t="str">
        <f t="shared" si="10"/>
        <v>RM 51 - RM 100</v>
      </c>
      <c r="F96" s="16" t="s">
        <v>11</v>
      </c>
      <c r="G96" t="s">
        <v>12</v>
      </c>
      <c r="H96" s="9">
        <f t="shared" si="11"/>
        <v>19327.099999999999</v>
      </c>
    </row>
    <row r="97" spans="1:8" x14ac:dyDescent="0.3">
      <c r="A97">
        <v>96</v>
      </c>
      <c r="B97" s="8">
        <f>DATE(2026,3,17)</f>
        <v>46098</v>
      </c>
      <c r="C97" t="s">
        <v>27</v>
      </c>
      <c r="D97" s="9">
        <v>112.5</v>
      </c>
      <c r="E97" t="str">
        <f t="shared" si="10"/>
        <v>Above RM 100</v>
      </c>
      <c r="F97" s="16" t="s">
        <v>11</v>
      </c>
      <c r="G97" t="s">
        <v>12</v>
      </c>
      <c r="H97" s="9">
        <f t="shared" si="11"/>
        <v>19439.599999999999</v>
      </c>
    </row>
    <row r="98" spans="1:8" x14ac:dyDescent="0.3">
      <c r="A98">
        <v>97</v>
      </c>
      <c r="B98" s="8">
        <f>DATE(2026,3,17)</f>
        <v>46098</v>
      </c>
      <c r="C98" t="s">
        <v>30</v>
      </c>
      <c r="D98" s="9">
        <v>100</v>
      </c>
      <c r="E98" t="str">
        <f t="shared" si="10"/>
        <v>RM 51 - RM 100</v>
      </c>
      <c r="F98" s="16" t="s">
        <v>11</v>
      </c>
      <c r="G98" t="s">
        <v>12</v>
      </c>
      <c r="H98" s="9">
        <f t="shared" si="11"/>
        <v>19539.599999999999</v>
      </c>
    </row>
    <row r="99" spans="1:8" x14ac:dyDescent="0.3">
      <c r="A99">
        <v>98</v>
      </c>
      <c r="B99" s="8">
        <f>DATE(2026,3,17)</f>
        <v>46098</v>
      </c>
      <c r="C99" t="s">
        <v>23</v>
      </c>
      <c r="D99" s="9">
        <v>542.4</v>
      </c>
      <c r="E99" t="str">
        <f t="shared" si="10"/>
        <v>Above RM 100</v>
      </c>
      <c r="F99" s="16" t="s">
        <v>11</v>
      </c>
      <c r="G99" t="s">
        <v>49</v>
      </c>
      <c r="H99" s="9">
        <f t="shared" si="11"/>
        <v>20082</v>
      </c>
    </row>
    <row r="100" spans="1:8" x14ac:dyDescent="0.3">
      <c r="A100">
        <v>99</v>
      </c>
      <c r="B100" s="8">
        <f>DATE(2026,3,17)</f>
        <v>46098</v>
      </c>
      <c r="C100" t="s">
        <v>23</v>
      </c>
      <c r="D100" s="9">
        <v>100</v>
      </c>
      <c r="E100" t="str">
        <f t="shared" si="10"/>
        <v>RM 51 - RM 100</v>
      </c>
      <c r="F100" s="16" t="s">
        <v>11</v>
      </c>
      <c r="G100" t="s">
        <v>12</v>
      </c>
      <c r="H100" s="9">
        <f t="shared" si="11"/>
        <v>20182</v>
      </c>
    </row>
    <row r="101" spans="1:8" x14ac:dyDescent="0.3">
      <c r="A101">
        <v>100</v>
      </c>
      <c r="B101" s="8">
        <f>DATE(2026,3,17)</f>
        <v>46098</v>
      </c>
      <c r="C101" t="s">
        <v>35</v>
      </c>
      <c r="D101" s="9">
        <v>173</v>
      </c>
      <c r="E101" t="str">
        <f t="shared" si="10"/>
        <v>Above RM 100</v>
      </c>
      <c r="F101" s="16" t="s">
        <v>11</v>
      </c>
      <c r="G101" t="s">
        <v>16</v>
      </c>
      <c r="H101" s="9">
        <f t="shared" si="11"/>
        <v>20355</v>
      </c>
    </row>
    <row r="102" spans="1:8" x14ac:dyDescent="0.3">
      <c r="A102">
        <v>101</v>
      </c>
      <c r="B102" s="8">
        <f t="shared" ref="B102:B104" si="16">DATE(2026,3,17)</f>
        <v>46098</v>
      </c>
      <c r="C102" t="s">
        <v>33</v>
      </c>
      <c r="D102" s="9">
        <v>200</v>
      </c>
      <c r="E102" t="str">
        <f t="shared" si="10"/>
        <v>Above RM 100</v>
      </c>
      <c r="F102" s="16" t="s">
        <v>11</v>
      </c>
      <c r="G102" t="s">
        <v>12</v>
      </c>
      <c r="H102" s="9">
        <f t="shared" si="11"/>
        <v>20555</v>
      </c>
    </row>
    <row r="103" spans="1:8" x14ac:dyDescent="0.3">
      <c r="A103">
        <v>102</v>
      </c>
      <c r="B103" s="8">
        <f t="shared" si="16"/>
        <v>46098</v>
      </c>
      <c r="C103" t="s">
        <v>42</v>
      </c>
      <c r="D103" s="9">
        <v>50</v>
      </c>
      <c r="E103" t="str">
        <f t="shared" si="10"/>
        <v>RM 0 - RM50</v>
      </c>
      <c r="F103" s="16" t="s">
        <v>11</v>
      </c>
      <c r="G103" t="s">
        <v>12</v>
      </c>
      <c r="H103" s="9">
        <f t="shared" si="11"/>
        <v>20605</v>
      </c>
    </row>
    <row r="104" spans="1:8" x14ac:dyDescent="0.3">
      <c r="A104">
        <v>103</v>
      </c>
      <c r="B104" s="8">
        <f t="shared" si="16"/>
        <v>46098</v>
      </c>
      <c r="C104" t="s">
        <v>42</v>
      </c>
      <c r="D104" s="9">
        <v>28.5</v>
      </c>
      <c r="E104" t="str">
        <f t="shared" si="10"/>
        <v>RM 0 - RM50</v>
      </c>
      <c r="F104" s="16" t="s">
        <v>11</v>
      </c>
      <c r="G104" t="s">
        <v>16</v>
      </c>
      <c r="H104" s="9">
        <f t="shared" si="11"/>
        <v>20633.5</v>
      </c>
    </row>
    <row r="105" spans="1:8" x14ac:dyDescent="0.3">
      <c r="A105">
        <v>104</v>
      </c>
      <c r="B105" s="8">
        <f t="shared" ref="B105:B115" si="17">DATE(2026,3,18)</f>
        <v>46099</v>
      </c>
      <c r="C105" t="s">
        <v>27</v>
      </c>
      <c r="D105" s="9">
        <v>726.4</v>
      </c>
      <c r="E105" t="str">
        <f t="shared" si="10"/>
        <v>Above RM 100</v>
      </c>
      <c r="F105" s="16" t="s">
        <v>11</v>
      </c>
      <c r="G105" t="s">
        <v>16</v>
      </c>
      <c r="H105" s="9">
        <f t="shared" si="11"/>
        <v>21359.9</v>
      </c>
    </row>
    <row r="106" spans="1:8" x14ac:dyDescent="0.3">
      <c r="A106">
        <v>105</v>
      </c>
      <c r="B106" s="8">
        <f t="shared" si="17"/>
        <v>46099</v>
      </c>
      <c r="C106" t="s">
        <v>39</v>
      </c>
      <c r="D106" s="9">
        <v>200</v>
      </c>
      <c r="E106" t="str">
        <f t="shared" si="10"/>
        <v>Above RM 100</v>
      </c>
      <c r="F106" s="16" t="s">
        <v>11</v>
      </c>
      <c r="G106" t="s">
        <v>17</v>
      </c>
      <c r="H106" s="9">
        <f t="shared" si="11"/>
        <v>21559.9</v>
      </c>
    </row>
    <row r="107" spans="1:8" x14ac:dyDescent="0.3">
      <c r="A107">
        <v>106</v>
      </c>
      <c r="B107" s="8">
        <f t="shared" si="17"/>
        <v>46099</v>
      </c>
      <c r="C107" t="s">
        <v>19</v>
      </c>
      <c r="D107" s="9">
        <v>1.1000000000000001</v>
      </c>
      <c r="E107" t="str">
        <f t="shared" si="10"/>
        <v>RM 0 - RM50</v>
      </c>
      <c r="F107" s="16" t="s">
        <v>11</v>
      </c>
      <c r="G107" t="s">
        <v>16</v>
      </c>
      <c r="H107" s="9">
        <f t="shared" si="11"/>
        <v>21561</v>
      </c>
    </row>
    <row r="108" spans="1:8" x14ac:dyDescent="0.3">
      <c r="A108">
        <v>107</v>
      </c>
      <c r="B108" s="8">
        <f t="shared" si="17"/>
        <v>46099</v>
      </c>
      <c r="C108" t="s">
        <v>19</v>
      </c>
      <c r="D108" s="9">
        <v>17</v>
      </c>
      <c r="E108" t="str">
        <f t="shared" si="10"/>
        <v>RM 0 - RM50</v>
      </c>
      <c r="F108" s="16" t="s">
        <v>11</v>
      </c>
      <c r="G108" t="s">
        <v>16</v>
      </c>
      <c r="H108" s="9">
        <f t="shared" si="11"/>
        <v>21578</v>
      </c>
    </row>
    <row r="109" spans="1:8" x14ac:dyDescent="0.3">
      <c r="A109">
        <v>108</v>
      </c>
      <c r="B109" s="8">
        <f t="shared" si="17"/>
        <v>46099</v>
      </c>
      <c r="C109" t="s">
        <v>32</v>
      </c>
      <c r="D109" s="9">
        <v>370</v>
      </c>
      <c r="E109" t="str">
        <f t="shared" si="10"/>
        <v>Above RM 100</v>
      </c>
      <c r="F109" s="16" t="s">
        <v>11</v>
      </c>
      <c r="G109" t="s">
        <v>49</v>
      </c>
      <c r="H109" s="9">
        <f t="shared" si="11"/>
        <v>21948</v>
      </c>
    </row>
    <row r="110" spans="1:8" x14ac:dyDescent="0.3">
      <c r="A110">
        <v>109</v>
      </c>
      <c r="B110" s="8">
        <f t="shared" si="17"/>
        <v>46099</v>
      </c>
      <c r="C110" t="s">
        <v>32</v>
      </c>
      <c r="D110" s="9">
        <v>120</v>
      </c>
      <c r="E110" t="str">
        <f t="shared" si="10"/>
        <v>Above RM 100</v>
      </c>
      <c r="F110" s="16" t="s">
        <v>11</v>
      </c>
      <c r="G110" t="s">
        <v>12</v>
      </c>
      <c r="H110" s="9">
        <f t="shared" si="11"/>
        <v>22068</v>
      </c>
    </row>
    <row r="111" spans="1:8" x14ac:dyDescent="0.3">
      <c r="A111">
        <v>110</v>
      </c>
      <c r="B111" s="8">
        <f t="shared" si="17"/>
        <v>46099</v>
      </c>
      <c r="C111" t="s">
        <v>19</v>
      </c>
      <c r="D111" s="9">
        <v>3.2</v>
      </c>
      <c r="E111" t="str">
        <f t="shared" si="10"/>
        <v>RM 0 - RM50</v>
      </c>
      <c r="F111" s="16" t="s">
        <v>11</v>
      </c>
      <c r="G111" t="s">
        <v>16</v>
      </c>
      <c r="H111" s="9">
        <f t="shared" si="11"/>
        <v>22071.200000000001</v>
      </c>
    </row>
    <row r="112" spans="1:8" x14ac:dyDescent="0.3">
      <c r="A112">
        <v>111</v>
      </c>
      <c r="B112" s="8">
        <f t="shared" si="17"/>
        <v>46099</v>
      </c>
      <c r="C112" t="s">
        <v>28</v>
      </c>
      <c r="D112" s="9">
        <v>50</v>
      </c>
      <c r="E112" t="str">
        <f t="shared" si="10"/>
        <v>RM 0 - RM50</v>
      </c>
      <c r="F112" s="16" t="s">
        <v>11</v>
      </c>
      <c r="G112" t="s">
        <v>12</v>
      </c>
      <c r="H112" s="9">
        <f t="shared" si="11"/>
        <v>22121.200000000001</v>
      </c>
    </row>
    <row r="113" spans="1:8" x14ac:dyDescent="0.3">
      <c r="A113">
        <v>112</v>
      </c>
      <c r="B113" s="8">
        <f t="shared" si="17"/>
        <v>46099</v>
      </c>
      <c r="C113" t="s">
        <v>32</v>
      </c>
      <c r="D113" s="9">
        <v>370</v>
      </c>
      <c r="E113" t="str">
        <f t="shared" si="10"/>
        <v>Above RM 100</v>
      </c>
      <c r="F113" s="16" t="s">
        <v>11</v>
      </c>
      <c r="G113" t="s">
        <v>49</v>
      </c>
      <c r="H113" s="9">
        <f t="shared" si="11"/>
        <v>22491.200000000001</v>
      </c>
    </row>
    <row r="114" spans="1:8" x14ac:dyDescent="0.3">
      <c r="A114">
        <v>113</v>
      </c>
      <c r="B114" s="8">
        <f t="shared" si="17"/>
        <v>46099</v>
      </c>
      <c r="C114" t="s">
        <v>34</v>
      </c>
      <c r="D114" s="9">
        <v>60</v>
      </c>
      <c r="E114" t="str">
        <f t="shared" si="10"/>
        <v>RM 51 - RM 100</v>
      </c>
      <c r="F114" s="16" t="s">
        <v>11</v>
      </c>
      <c r="G114" t="s">
        <v>12</v>
      </c>
      <c r="H114" s="9">
        <f t="shared" si="11"/>
        <v>22551.200000000001</v>
      </c>
    </row>
    <row r="115" spans="1:8" x14ac:dyDescent="0.3">
      <c r="A115">
        <v>114</v>
      </c>
      <c r="B115" s="8">
        <f t="shared" si="17"/>
        <v>46099</v>
      </c>
      <c r="C115" t="s">
        <v>19</v>
      </c>
      <c r="D115" s="9">
        <v>14.5</v>
      </c>
      <c r="E115" t="str">
        <f t="shared" si="10"/>
        <v>RM 0 - RM50</v>
      </c>
      <c r="F115" s="16" t="s">
        <v>11</v>
      </c>
      <c r="G115" t="s">
        <v>16</v>
      </c>
      <c r="H115" s="9">
        <f t="shared" si="11"/>
        <v>22565.7</v>
      </c>
    </row>
    <row r="116" spans="1:8" x14ac:dyDescent="0.3">
      <c r="A116">
        <v>115</v>
      </c>
      <c r="B116" s="8">
        <f t="shared" ref="B116:B121" si="18">DATE(2026,3,25)</f>
        <v>46106</v>
      </c>
      <c r="C116" t="s">
        <v>27</v>
      </c>
      <c r="D116" s="9">
        <v>100</v>
      </c>
      <c r="E116" t="str">
        <f t="shared" si="10"/>
        <v>RM 51 - RM 100</v>
      </c>
      <c r="F116" s="16" t="s">
        <v>11</v>
      </c>
      <c r="G116" t="s">
        <v>12</v>
      </c>
      <c r="H116" s="9">
        <f t="shared" si="11"/>
        <v>22665.7</v>
      </c>
    </row>
    <row r="117" spans="1:8" x14ac:dyDescent="0.3">
      <c r="A117">
        <v>116</v>
      </c>
      <c r="B117" s="8">
        <f t="shared" si="18"/>
        <v>46106</v>
      </c>
      <c r="C117" t="s">
        <v>28</v>
      </c>
      <c r="D117" s="9">
        <v>13.5</v>
      </c>
      <c r="E117" t="str">
        <f t="shared" si="10"/>
        <v>RM 0 - RM50</v>
      </c>
      <c r="F117" s="16" t="s">
        <v>11</v>
      </c>
      <c r="G117" t="s">
        <v>12</v>
      </c>
      <c r="H117" s="9">
        <f t="shared" si="11"/>
        <v>22679.200000000001</v>
      </c>
    </row>
    <row r="118" spans="1:8" x14ac:dyDescent="0.3">
      <c r="A118">
        <v>117</v>
      </c>
      <c r="B118" s="8">
        <f t="shared" si="18"/>
        <v>46106</v>
      </c>
      <c r="C118" t="s">
        <v>43</v>
      </c>
      <c r="D118" s="9">
        <v>40</v>
      </c>
      <c r="E118" t="str">
        <f t="shared" si="10"/>
        <v>RM 0 - RM50</v>
      </c>
      <c r="F118" s="16" t="s">
        <v>11</v>
      </c>
      <c r="G118" t="s">
        <v>12</v>
      </c>
      <c r="H118" s="9">
        <f t="shared" si="11"/>
        <v>22719.200000000001</v>
      </c>
    </row>
    <row r="119" spans="1:8" x14ac:dyDescent="0.3">
      <c r="A119">
        <v>118</v>
      </c>
      <c r="B119" s="8">
        <f t="shared" si="18"/>
        <v>46106</v>
      </c>
      <c r="C119" t="s">
        <v>43</v>
      </c>
      <c r="D119" s="9">
        <v>100</v>
      </c>
      <c r="E119" t="str">
        <f t="shared" si="10"/>
        <v>RM 51 - RM 100</v>
      </c>
      <c r="F119" s="16" t="s">
        <v>11</v>
      </c>
      <c r="G119" t="s">
        <v>12</v>
      </c>
      <c r="H119" s="9">
        <f t="shared" si="11"/>
        <v>22819.200000000001</v>
      </c>
    </row>
    <row r="120" spans="1:8" x14ac:dyDescent="0.3">
      <c r="A120">
        <v>119</v>
      </c>
      <c r="B120" s="8">
        <f t="shared" si="18"/>
        <v>46106</v>
      </c>
      <c r="C120" t="s">
        <v>28</v>
      </c>
      <c r="D120" s="9">
        <v>3</v>
      </c>
      <c r="E120" t="str">
        <f t="shared" si="10"/>
        <v>RM 0 - RM50</v>
      </c>
      <c r="F120" s="16" t="s">
        <v>11</v>
      </c>
      <c r="G120" t="s">
        <v>16</v>
      </c>
      <c r="H120" s="9">
        <f t="shared" si="11"/>
        <v>22822.2</v>
      </c>
    </row>
    <row r="121" spans="1:8" x14ac:dyDescent="0.3">
      <c r="A121">
        <v>120</v>
      </c>
      <c r="B121" s="8">
        <f t="shared" si="18"/>
        <v>46106</v>
      </c>
      <c r="C121" t="s">
        <v>28</v>
      </c>
      <c r="D121" s="9">
        <v>8</v>
      </c>
      <c r="E121" t="str">
        <f t="shared" si="10"/>
        <v>RM 0 - RM50</v>
      </c>
      <c r="F121" s="16" t="s">
        <v>11</v>
      </c>
      <c r="G121" t="s">
        <v>16</v>
      </c>
      <c r="H121" s="9">
        <f t="shared" si="11"/>
        <v>22830.2</v>
      </c>
    </row>
    <row r="122" spans="1:8" x14ac:dyDescent="0.3">
      <c r="A122">
        <v>121</v>
      </c>
      <c r="B122" s="8">
        <f>DATE(2026,3,26)</f>
        <v>46107</v>
      </c>
      <c r="C122" t="s">
        <v>44</v>
      </c>
      <c r="D122" s="9">
        <v>100</v>
      </c>
      <c r="E122" t="str">
        <f t="shared" si="10"/>
        <v>RM 51 - RM 100</v>
      </c>
      <c r="F122" s="16" t="s">
        <v>11</v>
      </c>
      <c r="G122" t="s">
        <v>12</v>
      </c>
      <c r="H122" s="9">
        <f t="shared" si="11"/>
        <v>22930.2</v>
      </c>
    </row>
    <row r="123" spans="1:8" x14ac:dyDescent="0.3">
      <c r="A123">
        <v>122</v>
      </c>
      <c r="B123" s="8">
        <f>DATE(2026,3,26)</f>
        <v>46107</v>
      </c>
      <c r="C123" t="s">
        <v>27</v>
      </c>
      <c r="D123" s="9">
        <v>400</v>
      </c>
      <c r="E123" t="str">
        <f t="shared" si="10"/>
        <v>Above RM 100</v>
      </c>
      <c r="F123" s="16" t="s">
        <v>11</v>
      </c>
      <c r="G123" t="s">
        <v>12</v>
      </c>
      <c r="H123" s="9">
        <f t="shared" si="11"/>
        <v>23330.2</v>
      </c>
    </row>
    <row r="124" spans="1:8" x14ac:dyDescent="0.3">
      <c r="A124">
        <v>123</v>
      </c>
      <c r="B124" s="8">
        <f>DATE(2026,3,26)</f>
        <v>46107</v>
      </c>
      <c r="C124" t="s">
        <v>40</v>
      </c>
      <c r="D124" s="9">
        <v>74</v>
      </c>
      <c r="E124" t="str">
        <f t="shared" si="10"/>
        <v>RM 51 - RM 100</v>
      </c>
      <c r="F124" s="16" t="s">
        <v>11</v>
      </c>
      <c r="G124" t="s">
        <v>12</v>
      </c>
      <c r="H124" s="9">
        <f t="shared" si="11"/>
        <v>23404.2</v>
      </c>
    </row>
    <row r="125" spans="1:8" x14ac:dyDescent="0.3">
      <c r="A125">
        <v>124</v>
      </c>
      <c r="B125" s="8">
        <f>DATE(2026,3,26)</f>
        <v>46107</v>
      </c>
      <c r="C125" t="s">
        <v>40</v>
      </c>
      <c r="D125" s="9">
        <v>65</v>
      </c>
      <c r="E125" t="str">
        <f t="shared" si="10"/>
        <v>RM 51 - RM 100</v>
      </c>
      <c r="F125" s="16" t="s">
        <v>11</v>
      </c>
      <c r="G125" t="s">
        <v>16</v>
      </c>
      <c r="H125" s="9">
        <f t="shared" si="11"/>
        <v>23469.200000000001</v>
      </c>
    </row>
    <row r="126" spans="1:8" x14ac:dyDescent="0.3">
      <c r="A126">
        <v>125</v>
      </c>
      <c r="B126" s="8">
        <f t="shared" ref="B126:B132" si="19">DATE(2026,3,29)</f>
        <v>46110</v>
      </c>
      <c r="C126" t="s">
        <v>41</v>
      </c>
      <c r="D126" s="9">
        <v>450</v>
      </c>
      <c r="E126" t="str">
        <f t="shared" ref="E126:E139" si="20">IF(D126&lt;=50,"RM 0 - RM50",IF(D126&lt;=100,"RM 51 - RM 100","Above RM 100"))</f>
        <v>Above RM 100</v>
      </c>
      <c r="F126" s="16" t="s">
        <v>11</v>
      </c>
      <c r="G126" t="s">
        <v>17</v>
      </c>
      <c r="H126" s="9">
        <f t="shared" si="11"/>
        <v>23919.200000000001</v>
      </c>
    </row>
    <row r="127" spans="1:8" x14ac:dyDescent="0.3">
      <c r="A127">
        <v>126</v>
      </c>
      <c r="B127" s="8">
        <f t="shared" si="19"/>
        <v>46110</v>
      </c>
      <c r="C127" t="s">
        <v>30</v>
      </c>
      <c r="D127" s="9">
        <v>100</v>
      </c>
      <c r="E127" t="str">
        <f t="shared" si="20"/>
        <v>RM 51 - RM 100</v>
      </c>
      <c r="F127" s="16" t="s">
        <v>11</v>
      </c>
      <c r="G127" t="s">
        <v>12</v>
      </c>
      <c r="H127" s="9">
        <f t="shared" si="11"/>
        <v>24019.200000000001</v>
      </c>
    </row>
    <row r="128" spans="1:8" x14ac:dyDescent="0.3">
      <c r="A128">
        <v>127</v>
      </c>
      <c r="B128" s="8">
        <f t="shared" si="19"/>
        <v>46110</v>
      </c>
      <c r="C128" t="s">
        <v>43</v>
      </c>
      <c r="D128" s="9">
        <v>285</v>
      </c>
      <c r="E128" t="str">
        <f t="shared" si="20"/>
        <v>Above RM 100</v>
      </c>
      <c r="F128" s="16" t="s">
        <v>11</v>
      </c>
      <c r="G128" t="s">
        <v>12</v>
      </c>
      <c r="H128" s="9">
        <f t="shared" si="11"/>
        <v>24304.2</v>
      </c>
    </row>
    <row r="129" spans="1:8" x14ac:dyDescent="0.3">
      <c r="A129">
        <v>128</v>
      </c>
      <c r="B129" s="8">
        <f t="shared" si="19"/>
        <v>46110</v>
      </c>
      <c r="C129" t="s">
        <v>19</v>
      </c>
      <c r="D129" s="9">
        <v>5.2</v>
      </c>
      <c r="E129" t="str">
        <f t="shared" si="20"/>
        <v>RM 0 - RM50</v>
      </c>
      <c r="F129" s="16" t="s">
        <v>11</v>
      </c>
      <c r="G129" t="s">
        <v>16</v>
      </c>
      <c r="H129" s="9">
        <f t="shared" si="11"/>
        <v>24309.4</v>
      </c>
    </row>
    <row r="130" spans="1:8" x14ac:dyDescent="0.3">
      <c r="A130">
        <v>129</v>
      </c>
      <c r="B130" s="8">
        <f t="shared" si="19"/>
        <v>46110</v>
      </c>
      <c r="C130" t="s">
        <v>34</v>
      </c>
      <c r="D130" s="9">
        <v>450.8</v>
      </c>
      <c r="E130" t="str">
        <f t="shared" si="20"/>
        <v>Above RM 100</v>
      </c>
      <c r="F130" s="16" t="s">
        <v>11</v>
      </c>
      <c r="G130" t="s">
        <v>16</v>
      </c>
      <c r="H130" s="9">
        <f t="shared" si="11"/>
        <v>24760.2</v>
      </c>
    </row>
    <row r="131" spans="1:8" x14ac:dyDescent="0.3">
      <c r="A131">
        <v>130</v>
      </c>
      <c r="B131" s="8">
        <f t="shared" si="19"/>
        <v>46110</v>
      </c>
      <c r="C131" t="s">
        <v>27</v>
      </c>
      <c r="D131" s="9">
        <v>30</v>
      </c>
      <c r="E131" t="str">
        <f t="shared" si="20"/>
        <v>RM 0 - RM50</v>
      </c>
      <c r="F131" s="16" t="s">
        <v>11</v>
      </c>
      <c r="G131" t="s">
        <v>12</v>
      </c>
      <c r="H131" s="9">
        <f t="shared" ref="H131:H139" si="21">H130+D131</f>
        <v>24790.2</v>
      </c>
    </row>
    <row r="132" spans="1:8" x14ac:dyDescent="0.3">
      <c r="A132">
        <v>131</v>
      </c>
      <c r="B132" s="8">
        <f t="shared" si="19"/>
        <v>46110</v>
      </c>
      <c r="C132" t="s">
        <v>40</v>
      </c>
      <c r="D132" s="9">
        <v>50</v>
      </c>
      <c r="E132" t="str">
        <f t="shared" si="20"/>
        <v>RM 0 - RM50</v>
      </c>
      <c r="F132" s="16" t="s">
        <v>11</v>
      </c>
      <c r="G132" t="s">
        <v>12</v>
      </c>
      <c r="H132" s="9">
        <f t="shared" si="21"/>
        <v>24840.2</v>
      </c>
    </row>
    <row r="133" spans="1:8" x14ac:dyDescent="0.3">
      <c r="A133">
        <v>132</v>
      </c>
      <c r="B133" s="8">
        <f t="shared" ref="B133:B139" si="22">DATE(2026,3,31)</f>
        <v>46112</v>
      </c>
      <c r="C133" t="s">
        <v>43</v>
      </c>
      <c r="D133" s="9">
        <v>600</v>
      </c>
      <c r="E133" t="str">
        <f t="shared" si="20"/>
        <v>Above RM 100</v>
      </c>
      <c r="F133" s="16" t="s">
        <v>11</v>
      </c>
      <c r="G133" t="s">
        <v>12</v>
      </c>
      <c r="H133" s="9">
        <f t="shared" si="21"/>
        <v>25440.2</v>
      </c>
    </row>
    <row r="134" spans="1:8" x14ac:dyDescent="0.3">
      <c r="A134">
        <v>133</v>
      </c>
      <c r="B134" s="8">
        <f t="shared" si="22"/>
        <v>46112</v>
      </c>
      <c r="C134" t="s">
        <v>30</v>
      </c>
      <c r="D134" s="9">
        <v>400</v>
      </c>
      <c r="E134" t="str">
        <f t="shared" si="20"/>
        <v>Above RM 100</v>
      </c>
      <c r="F134" s="16" t="s">
        <v>11</v>
      </c>
      <c r="G134" t="s">
        <v>12</v>
      </c>
      <c r="H134" s="9">
        <f t="shared" si="21"/>
        <v>25840.2</v>
      </c>
    </row>
    <row r="135" spans="1:8" x14ac:dyDescent="0.3">
      <c r="A135">
        <v>134</v>
      </c>
      <c r="B135" s="8">
        <f t="shared" si="22"/>
        <v>46112</v>
      </c>
      <c r="C135" t="s">
        <v>38</v>
      </c>
      <c r="D135" s="9">
        <v>400</v>
      </c>
      <c r="E135" t="str">
        <f t="shared" si="20"/>
        <v>Above RM 100</v>
      </c>
      <c r="F135" s="16" t="s">
        <v>11</v>
      </c>
      <c r="G135" t="s">
        <v>12</v>
      </c>
      <c r="H135" s="9">
        <f t="shared" si="21"/>
        <v>26240.2</v>
      </c>
    </row>
    <row r="136" spans="1:8" x14ac:dyDescent="0.3">
      <c r="A136">
        <v>135</v>
      </c>
      <c r="B136" s="8">
        <f t="shared" si="22"/>
        <v>46112</v>
      </c>
      <c r="C136" t="s">
        <v>34</v>
      </c>
      <c r="D136" s="9">
        <v>602</v>
      </c>
      <c r="E136" t="str">
        <f t="shared" si="20"/>
        <v>Above RM 100</v>
      </c>
      <c r="F136" s="16" t="s">
        <v>11</v>
      </c>
      <c r="G136" t="s">
        <v>17</v>
      </c>
      <c r="H136" s="9">
        <f t="shared" si="21"/>
        <v>26842.2</v>
      </c>
    </row>
    <row r="137" spans="1:8" x14ac:dyDescent="0.3">
      <c r="A137">
        <v>136</v>
      </c>
      <c r="B137" s="8">
        <f t="shared" si="22"/>
        <v>46112</v>
      </c>
      <c r="C137" t="s">
        <v>28</v>
      </c>
      <c r="D137" s="9">
        <v>30.6</v>
      </c>
      <c r="E137" t="str">
        <f t="shared" si="20"/>
        <v>RM 0 - RM50</v>
      </c>
      <c r="F137" s="16" t="s">
        <v>11</v>
      </c>
      <c r="G137" t="s">
        <v>16</v>
      </c>
      <c r="H137" s="9">
        <f t="shared" si="21"/>
        <v>26872.799999999999</v>
      </c>
    </row>
    <row r="138" spans="1:8" x14ac:dyDescent="0.3">
      <c r="A138">
        <v>137</v>
      </c>
      <c r="B138" s="8">
        <f t="shared" si="22"/>
        <v>46112</v>
      </c>
      <c r="C138" t="s">
        <v>25</v>
      </c>
      <c r="D138" s="9">
        <v>32</v>
      </c>
      <c r="E138" t="str">
        <f t="shared" si="20"/>
        <v>RM 0 - RM50</v>
      </c>
      <c r="F138" s="16" t="s">
        <v>11</v>
      </c>
      <c r="G138" t="s">
        <v>16</v>
      </c>
      <c r="H138" s="9">
        <f t="shared" si="21"/>
        <v>26904.799999999999</v>
      </c>
    </row>
    <row r="139" spans="1:8" x14ac:dyDescent="0.3">
      <c r="A139">
        <v>138</v>
      </c>
      <c r="B139" s="8">
        <f t="shared" si="22"/>
        <v>46112</v>
      </c>
      <c r="C139" t="s">
        <v>19</v>
      </c>
      <c r="D139" s="9">
        <v>30.2</v>
      </c>
      <c r="E139" t="str">
        <f t="shared" si="20"/>
        <v>RM 0 - RM50</v>
      </c>
      <c r="F139" s="16" t="s">
        <v>11</v>
      </c>
      <c r="G139" t="s">
        <v>16</v>
      </c>
      <c r="H139" s="9">
        <f t="shared" si="21"/>
        <v>26935</v>
      </c>
    </row>
    <row r="141" spans="1:8" x14ac:dyDescent="0.3">
      <c r="G141" t="s">
        <v>22</v>
      </c>
    </row>
  </sheetData>
  <dataValidations count="1">
    <dataValidation type="list" allowBlank="1" showInputMessage="1" showErrorMessage="1" sqref="G1:G1048576" xr:uid="{B816FC87-2ABF-4273-B84F-50156E5A2AF4}">
      <formula1>"MINYAK, BARANG, KASARAN, MAINTENANCE, MAKANAN, LAIN-LAIN"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3954-8E93-4244-92F7-558AEFCBF53D}">
  <dimension ref="A1:H15"/>
  <sheetViews>
    <sheetView workbookViewId="0">
      <selection activeCell="G13" sqref="G13"/>
    </sheetView>
  </sheetViews>
  <sheetFormatPr defaultRowHeight="14.4" x14ac:dyDescent="0.3"/>
  <cols>
    <col min="1" max="1" width="4.21875" bestFit="1" customWidth="1"/>
    <col min="2" max="2" width="10.33203125" bestFit="1" customWidth="1"/>
    <col min="3" max="3" width="12" bestFit="1" customWidth="1"/>
    <col min="4" max="4" width="18.5546875" bestFit="1" customWidth="1"/>
    <col min="5" max="5" width="12" bestFit="1" customWidth="1"/>
    <col min="7" max="7" width="14.21875" bestFit="1" customWidth="1"/>
    <col min="8" max="8" width="13.109375" bestFit="1" customWidth="1"/>
  </cols>
  <sheetData>
    <row r="1" spans="1:8" x14ac:dyDescent="0.3">
      <c r="A1" s="1" t="s">
        <v>0</v>
      </c>
      <c r="B1" s="5" t="s">
        <v>1</v>
      </c>
      <c r="C1" s="6" t="s">
        <v>7</v>
      </c>
      <c r="D1" s="4" t="s">
        <v>8</v>
      </c>
      <c r="E1" s="6" t="s">
        <v>9</v>
      </c>
      <c r="H1" s="7" t="s">
        <v>10</v>
      </c>
    </row>
    <row r="2" spans="1:8" x14ac:dyDescent="0.3">
      <c r="A2">
        <v>1</v>
      </c>
      <c r="B2" s="8">
        <f>DATE(2026,3,1)</f>
        <v>46082</v>
      </c>
      <c r="C2" s="9">
        <v>2000</v>
      </c>
      <c r="D2" s="24">
        <v>4.4000000000000004</v>
      </c>
      <c r="E2" s="9">
        <v>1995.6</v>
      </c>
      <c r="G2" s="10" t="s">
        <v>13</v>
      </c>
      <c r="H2" s="11">
        <f>SUM(C$1:C$15)</f>
        <v>26935</v>
      </c>
    </row>
    <row r="3" spans="1:8" x14ac:dyDescent="0.3">
      <c r="A3">
        <v>2</v>
      </c>
      <c r="B3" s="8">
        <f>DATE(2026,3,2)</f>
        <v>46083</v>
      </c>
      <c r="C3" s="9">
        <v>1000</v>
      </c>
      <c r="D3" s="24">
        <v>18</v>
      </c>
      <c r="E3" s="9">
        <v>982</v>
      </c>
      <c r="G3" s="10" t="s">
        <v>14</v>
      </c>
      <c r="H3" s="12">
        <f>SUM('RAW DATA'!D:D)</f>
        <v>26935</v>
      </c>
    </row>
    <row r="4" spans="1:8" x14ac:dyDescent="0.3">
      <c r="A4">
        <v>3</v>
      </c>
      <c r="B4" s="8">
        <f>DATE(2026,3,3)</f>
        <v>46084</v>
      </c>
      <c r="C4" s="9">
        <v>1500</v>
      </c>
      <c r="D4" s="24">
        <v>4</v>
      </c>
      <c r="E4" s="9">
        <v>1496</v>
      </c>
      <c r="G4" s="13" t="s">
        <v>15</v>
      </c>
      <c r="H4" s="14">
        <f>SUM(D$1:D$15)</f>
        <v>129.29999999999998</v>
      </c>
    </row>
    <row r="5" spans="1:8" x14ac:dyDescent="0.3">
      <c r="A5">
        <v>4</v>
      </c>
      <c r="B5" s="8">
        <f>DATE(2026,3,4)</f>
        <v>46085</v>
      </c>
      <c r="C5" s="9">
        <v>3000</v>
      </c>
      <c r="D5" s="24">
        <v>1.9</v>
      </c>
      <c r="E5" s="9">
        <v>2998.1</v>
      </c>
      <c r="G5" s="13" t="s">
        <v>8</v>
      </c>
      <c r="H5" s="15">
        <f>H2-H3</f>
        <v>0</v>
      </c>
    </row>
    <row r="6" spans="1:8" x14ac:dyDescent="0.3">
      <c r="A6">
        <v>5</v>
      </c>
      <c r="B6" s="8">
        <f>DATE(2026,3,8)</f>
        <v>46089</v>
      </c>
      <c r="C6" s="9">
        <v>3000</v>
      </c>
      <c r="D6" s="24">
        <v>29.8</v>
      </c>
      <c r="E6" s="9">
        <f>C6-D6</f>
        <v>2970.2</v>
      </c>
    </row>
    <row r="7" spans="1:8" x14ac:dyDescent="0.3">
      <c r="A7">
        <v>6</v>
      </c>
      <c r="B7" s="8">
        <f>DATE(2026,3,10)</f>
        <v>46091</v>
      </c>
      <c r="C7" s="9">
        <v>3000</v>
      </c>
      <c r="D7" s="24">
        <v>0</v>
      </c>
      <c r="E7" s="9">
        <v>3000</v>
      </c>
    </row>
    <row r="8" spans="1:8" x14ac:dyDescent="0.3">
      <c r="A8">
        <v>7</v>
      </c>
      <c r="B8" s="8">
        <f>DATE(2026,3,12)</f>
        <v>46093</v>
      </c>
      <c r="C8" s="9">
        <v>3000</v>
      </c>
      <c r="D8" s="24">
        <v>1.1000000000000001</v>
      </c>
      <c r="E8" s="9">
        <v>2998.9</v>
      </c>
    </row>
    <row r="9" spans="1:8" x14ac:dyDescent="0.3">
      <c r="A9">
        <v>8</v>
      </c>
      <c r="B9" s="8">
        <f>DATE(2026,3,15)</f>
        <v>46096</v>
      </c>
      <c r="C9" s="9">
        <v>1000</v>
      </c>
      <c r="D9" s="24">
        <v>17</v>
      </c>
      <c r="E9" s="9">
        <v>983</v>
      </c>
    </row>
    <row r="10" spans="1:8" x14ac:dyDescent="0.3">
      <c r="A10">
        <v>9</v>
      </c>
      <c r="B10" s="8">
        <f>DATE(2026,3,16)</f>
        <v>46097</v>
      </c>
      <c r="C10" s="9">
        <v>2000</v>
      </c>
      <c r="D10" s="24">
        <v>3.2</v>
      </c>
      <c r="E10" s="9">
        <v>1996.8</v>
      </c>
    </row>
    <row r="11" spans="1:8" x14ac:dyDescent="0.3">
      <c r="A11">
        <v>10</v>
      </c>
      <c r="B11" s="8">
        <f>DATE(2026,3,17)</f>
        <v>46098</v>
      </c>
      <c r="C11" s="9">
        <v>1000</v>
      </c>
      <c r="D11" s="24">
        <v>14.5</v>
      </c>
      <c r="E11" s="9">
        <v>985.5</v>
      </c>
    </row>
    <row r="12" spans="1:8" x14ac:dyDescent="0.3">
      <c r="A12">
        <v>11</v>
      </c>
      <c r="B12" s="8">
        <f>DATE(2026,3,18)</f>
        <v>46099</v>
      </c>
      <c r="C12" s="9">
        <v>2500</v>
      </c>
      <c r="D12" s="24">
        <v>5.2</v>
      </c>
      <c r="E12" s="9">
        <v>2495.1999999999998</v>
      </c>
    </row>
    <row r="13" spans="1:8" x14ac:dyDescent="0.3">
      <c r="A13">
        <v>12</v>
      </c>
      <c r="B13" s="8">
        <f>DATE(2026,3,26)</f>
        <v>46107</v>
      </c>
      <c r="C13" s="9">
        <v>1933</v>
      </c>
      <c r="D13" s="24">
        <v>30.2</v>
      </c>
      <c r="E13" s="9">
        <f>C13-D13</f>
        <v>1902.8</v>
      </c>
    </row>
    <row r="14" spans="1:8" x14ac:dyDescent="0.3">
      <c r="A14">
        <v>13</v>
      </c>
      <c r="B14" s="8">
        <f>DATE(2026,3,31)</f>
        <v>46112</v>
      </c>
      <c r="C14" s="9">
        <v>2002</v>
      </c>
      <c r="D14" s="24">
        <v>0</v>
      </c>
      <c r="E14" s="9">
        <f t="shared" ref="E14:E15" si="0">C14-D14</f>
        <v>2002</v>
      </c>
    </row>
    <row r="15" spans="1:8" x14ac:dyDescent="0.3">
      <c r="B15" s="8"/>
      <c r="C15" s="9"/>
      <c r="D15" s="9" t="s">
        <v>18</v>
      </c>
      <c r="E15" s="9"/>
    </row>
  </sheetData>
  <conditionalFormatting sqref="H5">
    <cfRule type="cellIs" dxfId="0" priority="1" operator="lessThan">
      <formula>" RM100"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E09E-629E-4F05-8611-B95276428A16}">
  <dimension ref="A1:J34"/>
  <sheetViews>
    <sheetView showGridLines="0" zoomScale="80" zoomScaleNormal="80" workbookViewId="0">
      <selection activeCell="N13" sqref="N13"/>
    </sheetView>
  </sheetViews>
  <sheetFormatPr defaultRowHeight="14.4" x14ac:dyDescent="0.3"/>
  <cols>
    <col min="1" max="1" width="13.33203125" bestFit="1" customWidth="1"/>
    <col min="2" max="2" width="12.44140625" bestFit="1" customWidth="1"/>
    <col min="3" max="3" width="14.44140625" bestFit="1" customWidth="1"/>
    <col min="4" max="4" width="10.44140625" bestFit="1" customWidth="1"/>
    <col min="5" max="5" width="12.44140625" bestFit="1" customWidth="1"/>
    <col min="6" max="6" width="15.77734375" bestFit="1" customWidth="1"/>
    <col min="7" max="7" width="12" style="21" bestFit="1" customWidth="1"/>
    <col min="8" max="8" width="12" bestFit="1" customWidth="1"/>
    <col min="9" max="9" width="13.109375" bestFit="1" customWidth="1"/>
    <col min="10" max="10" width="9.44140625" bestFit="1" customWidth="1"/>
    <col min="11" max="11" width="12.44140625" bestFit="1" customWidth="1"/>
    <col min="12" max="12" width="14.44140625" bestFit="1" customWidth="1"/>
    <col min="13" max="13" width="9" bestFit="1" customWidth="1"/>
    <col min="14" max="14" width="7.5546875" bestFit="1" customWidth="1"/>
    <col min="15" max="15" width="19" bestFit="1" customWidth="1"/>
    <col min="16" max="16" width="14.88671875" bestFit="1" customWidth="1"/>
    <col min="17" max="17" width="10.44140625" bestFit="1" customWidth="1"/>
    <col min="18" max="18" width="10.6640625" bestFit="1" customWidth="1"/>
    <col min="19" max="19" width="10.44140625" bestFit="1" customWidth="1"/>
    <col min="20" max="20" width="12" bestFit="1" customWidth="1"/>
    <col min="21" max="21" width="10.44140625" bestFit="1" customWidth="1"/>
    <col min="22" max="22" width="12" bestFit="1" customWidth="1"/>
    <col min="23" max="23" width="10.44140625" bestFit="1" customWidth="1"/>
    <col min="24" max="26" width="12" bestFit="1" customWidth="1"/>
    <col min="27" max="27" width="10.33203125" bestFit="1" customWidth="1"/>
    <col min="28" max="28" width="9.6640625" bestFit="1" customWidth="1"/>
    <col min="29" max="33" width="10.6640625" bestFit="1" customWidth="1"/>
    <col min="34" max="34" width="11" bestFit="1" customWidth="1"/>
    <col min="35" max="39" width="10.6640625" bestFit="1" customWidth="1"/>
    <col min="40" max="40" width="9.6640625" bestFit="1" customWidth="1"/>
    <col min="41" max="41" width="10" bestFit="1" customWidth="1"/>
    <col min="42" max="42" width="10.6640625" bestFit="1" customWidth="1"/>
    <col min="43" max="46" width="9.6640625" bestFit="1" customWidth="1"/>
    <col min="47" max="47" width="10" bestFit="1" customWidth="1"/>
    <col min="48" max="50" width="9.6640625" bestFit="1" customWidth="1"/>
    <col min="51" max="51" width="19" bestFit="1" customWidth="1"/>
    <col min="52" max="52" width="14.88671875" bestFit="1" customWidth="1"/>
  </cols>
  <sheetData>
    <row r="1" spans="1:10" ht="14.4" customHeight="1" x14ac:dyDescent="0.3">
      <c r="A1" s="23" t="s">
        <v>50</v>
      </c>
      <c r="B1" s="23"/>
      <c r="C1" s="23"/>
      <c r="D1" s="23"/>
      <c r="E1" s="23"/>
      <c r="F1" s="23"/>
      <c r="G1" s="23"/>
      <c r="H1" s="23"/>
      <c r="I1" s="23"/>
      <c r="J1" s="23"/>
    </row>
    <row r="2" spans="1:10" ht="14.4" customHeight="1" x14ac:dyDescent="0.3">
      <c r="A2" s="23"/>
      <c r="B2" s="23"/>
      <c r="C2" s="23"/>
      <c r="D2" s="23"/>
      <c r="E2" s="23"/>
      <c r="F2" s="23"/>
      <c r="G2" s="23"/>
      <c r="H2" s="23"/>
      <c r="I2" s="23"/>
      <c r="J2" s="23"/>
    </row>
    <row r="3" spans="1:10" ht="14.4" customHeight="1" x14ac:dyDescent="0.3">
      <c r="A3" s="23"/>
      <c r="B3" s="23"/>
      <c r="C3" s="23"/>
      <c r="D3" s="23"/>
      <c r="E3" s="23"/>
      <c r="F3" s="23"/>
      <c r="G3" s="23"/>
      <c r="H3" s="23"/>
      <c r="I3" s="23"/>
      <c r="J3" s="23"/>
    </row>
    <row r="4" spans="1:10" x14ac:dyDescent="0.3">
      <c r="G4"/>
    </row>
    <row r="5" spans="1:10" x14ac:dyDescent="0.3">
      <c r="B5" s="17" t="s">
        <v>48</v>
      </c>
      <c r="C5" s="17" t="s">
        <v>55</v>
      </c>
      <c r="G5"/>
    </row>
    <row r="6" spans="1:10" x14ac:dyDescent="0.3">
      <c r="B6" s="17" t="s">
        <v>46</v>
      </c>
      <c r="C6" t="s">
        <v>21</v>
      </c>
      <c r="D6" t="s">
        <v>53</v>
      </c>
      <c r="E6" t="s">
        <v>17</v>
      </c>
      <c r="F6" t="s">
        <v>16</v>
      </c>
      <c r="G6" t="s">
        <v>49</v>
      </c>
      <c r="H6" t="s">
        <v>12</v>
      </c>
      <c r="I6" t="s">
        <v>47</v>
      </c>
    </row>
    <row r="7" spans="1:10" x14ac:dyDescent="0.3">
      <c r="B7" s="18" t="s">
        <v>33</v>
      </c>
      <c r="C7" s="9"/>
      <c r="D7" s="9"/>
      <c r="E7" s="9"/>
      <c r="F7" s="9">
        <v>727.6</v>
      </c>
      <c r="G7" s="9"/>
      <c r="H7" s="9">
        <v>1568</v>
      </c>
      <c r="I7" s="9">
        <v>2295.6</v>
      </c>
    </row>
    <row r="8" spans="1:10" x14ac:dyDescent="0.3">
      <c r="B8" s="18" t="s">
        <v>34</v>
      </c>
      <c r="C8" s="9"/>
      <c r="D8" s="9"/>
      <c r="E8" s="9">
        <v>602</v>
      </c>
      <c r="F8" s="9">
        <v>450.8</v>
      </c>
      <c r="G8" s="9"/>
      <c r="H8" s="9">
        <v>1030</v>
      </c>
      <c r="I8" s="9">
        <v>2082.8000000000002</v>
      </c>
    </row>
    <row r="9" spans="1:10" x14ac:dyDescent="0.3">
      <c r="B9" s="18" t="s">
        <v>27</v>
      </c>
      <c r="C9" s="9">
        <v>66</v>
      </c>
      <c r="D9" s="9"/>
      <c r="E9" s="9"/>
      <c r="F9" s="9">
        <v>816.4</v>
      </c>
      <c r="G9" s="9">
        <v>1155.4000000000001</v>
      </c>
      <c r="H9" s="9">
        <v>892.5</v>
      </c>
      <c r="I9" s="9">
        <v>2930.3</v>
      </c>
    </row>
    <row r="10" spans="1:10" x14ac:dyDescent="0.3">
      <c r="B10" s="18" t="s">
        <v>29</v>
      </c>
      <c r="C10" s="9"/>
      <c r="D10" s="9"/>
      <c r="E10" s="9"/>
      <c r="F10" s="9"/>
      <c r="G10" s="9">
        <v>891</v>
      </c>
      <c r="H10" s="9">
        <v>2056.9</v>
      </c>
      <c r="I10" s="9">
        <v>2947.9</v>
      </c>
    </row>
    <row r="11" spans="1:10" x14ac:dyDescent="0.3">
      <c r="B11" s="18" t="s">
        <v>32</v>
      </c>
      <c r="C11" s="9"/>
      <c r="D11" s="9">
        <v>100</v>
      </c>
      <c r="E11" s="9"/>
      <c r="F11" s="9"/>
      <c r="G11" s="9">
        <v>4090</v>
      </c>
      <c r="H11" s="9">
        <v>820</v>
      </c>
      <c r="I11" s="9">
        <v>5010</v>
      </c>
    </row>
    <row r="12" spans="1:10" x14ac:dyDescent="0.3">
      <c r="B12" s="18" t="s">
        <v>47</v>
      </c>
      <c r="C12" s="9">
        <v>66</v>
      </c>
      <c r="D12" s="9">
        <v>100</v>
      </c>
      <c r="E12" s="9">
        <v>602</v>
      </c>
      <c r="F12" s="9">
        <v>1994.8000000000002</v>
      </c>
      <c r="G12" s="9">
        <v>6136.4</v>
      </c>
      <c r="H12" s="9">
        <v>6367.4</v>
      </c>
      <c r="I12" s="9">
        <v>15266.6</v>
      </c>
    </row>
    <row r="13" spans="1:10" x14ac:dyDescent="0.3">
      <c r="G13"/>
    </row>
    <row r="14" spans="1:10" x14ac:dyDescent="0.3">
      <c r="B14" s="17" t="s">
        <v>46</v>
      </c>
      <c r="C14" t="s">
        <v>48</v>
      </c>
      <c r="E14" s="17" t="s">
        <v>46</v>
      </c>
      <c r="F14" t="s">
        <v>48</v>
      </c>
      <c r="G14" t="s">
        <v>51</v>
      </c>
    </row>
    <row r="15" spans="1:10" x14ac:dyDescent="0.3">
      <c r="B15" s="22">
        <v>46082</v>
      </c>
      <c r="C15">
        <v>1325</v>
      </c>
      <c r="E15" s="18" t="s">
        <v>21</v>
      </c>
      <c r="F15" s="9">
        <v>144.5</v>
      </c>
      <c r="G15" s="19">
        <v>5.364767031743085E-3</v>
      </c>
    </row>
    <row r="16" spans="1:10" x14ac:dyDescent="0.3">
      <c r="B16" s="22">
        <v>46083</v>
      </c>
      <c r="C16">
        <v>684.6</v>
      </c>
      <c r="E16" s="18" t="s">
        <v>53</v>
      </c>
      <c r="F16" s="9">
        <v>354.5</v>
      </c>
      <c r="G16" s="19">
        <v>1.3161314275106738E-2</v>
      </c>
    </row>
    <row r="17" spans="2:7" x14ac:dyDescent="0.3">
      <c r="B17" s="22">
        <v>46084</v>
      </c>
      <c r="C17">
        <v>1460.5</v>
      </c>
      <c r="E17" s="18" t="s">
        <v>17</v>
      </c>
      <c r="F17" s="9">
        <v>1302</v>
      </c>
      <c r="G17" s="19">
        <v>4.8338592908854651E-2</v>
      </c>
    </row>
    <row r="18" spans="2:7" x14ac:dyDescent="0.3">
      <c r="B18" s="22">
        <v>46085</v>
      </c>
      <c r="C18">
        <v>2289.4</v>
      </c>
      <c r="E18" s="18" t="s">
        <v>16</v>
      </c>
      <c r="F18" s="9">
        <v>3551.9999999999995</v>
      </c>
      <c r="G18" s="19">
        <v>0.13187302765917949</v>
      </c>
    </row>
    <row r="19" spans="2:7" x14ac:dyDescent="0.3">
      <c r="B19" s="22">
        <v>46086</v>
      </c>
      <c r="C19">
        <v>1143.5999999999999</v>
      </c>
      <c r="E19" s="18" t="s">
        <v>49</v>
      </c>
      <c r="F19" s="9">
        <v>8428.5999999999985</v>
      </c>
      <c r="G19" s="19">
        <v>0.31292370521626134</v>
      </c>
    </row>
    <row r="20" spans="2:7" x14ac:dyDescent="0.3">
      <c r="B20" s="22">
        <v>46089</v>
      </c>
      <c r="C20">
        <v>1306</v>
      </c>
      <c r="E20" s="18" t="s">
        <v>12</v>
      </c>
      <c r="F20" s="9">
        <v>13153.4</v>
      </c>
      <c r="G20" s="19">
        <v>0.48833859290885462</v>
      </c>
    </row>
    <row r="21" spans="2:7" x14ac:dyDescent="0.3">
      <c r="B21" s="22">
        <v>46090</v>
      </c>
      <c r="C21">
        <v>2171.1000000000004</v>
      </c>
      <c r="E21" s="18" t="s">
        <v>47</v>
      </c>
      <c r="F21" s="9">
        <v>26935</v>
      </c>
      <c r="G21" s="19">
        <v>1</v>
      </c>
    </row>
    <row r="22" spans="2:7" x14ac:dyDescent="0.3">
      <c r="B22" s="22">
        <v>46091</v>
      </c>
      <c r="C22">
        <v>769.8</v>
      </c>
      <c r="G22"/>
    </row>
    <row r="23" spans="2:7" x14ac:dyDescent="0.3">
      <c r="B23" s="22">
        <v>46092</v>
      </c>
      <c r="C23">
        <v>2094.4</v>
      </c>
      <c r="G23"/>
    </row>
    <row r="24" spans="2:7" x14ac:dyDescent="0.3">
      <c r="B24" s="22">
        <v>46093</v>
      </c>
      <c r="C24">
        <v>2844.4</v>
      </c>
      <c r="G24"/>
    </row>
    <row r="25" spans="2:7" x14ac:dyDescent="0.3">
      <c r="B25" s="22">
        <v>46095</v>
      </c>
      <c r="C25">
        <v>4.5</v>
      </c>
      <c r="E25" s="17" t="s">
        <v>46</v>
      </c>
      <c r="F25" s="21" t="s">
        <v>48</v>
      </c>
      <c r="G25"/>
    </row>
    <row r="26" spans="2:7" x14ac:dyDescent="0.3">
      <c r="B26" s="22">
        <v>46096</v>
      </c>
      <c r="C26">
        <v>1333.8</v>
      </c>
      <c r="E26" s="18" t="s">
        <v>33</v>
      </c>
      <c r="F26" s="21">
        <v>2295.6</v>
      </c>
      <c r="G26"/>
    </row>
    <row r="27" spans="2:7" x14ac:dyDescent="0.3">
      <c r="B27" s="22">
        <v>46097</v>
      </c>
      <c r="C27">
        <v>1900</v>
      </c>
      <c r="E27" s="18" t="s">
        <v>34</v>
      </c>
      <c r="F27" s="21">
        <v>2082.8000000000002</v>
      </c>
      <c r="G27"/>
    </row>
    <row r="28" spans="2:7" x14ac:dyDescent="0.3">
      <c r="B28" s="22">
        <v>46098</v>
      </c>
      <c r="C28">
        <v>1306.4000000000001</v>
      </c>
      <c r="E28" s="18" t="s">
        <v>27</v>
      </c>
      <c r="F28" s="21">
        <v>2930.3</v>
      </c>
      <c r="G28"/>
    </row>
    <row r="29" spans="2:7" x14ac:dyDescent="0.3">
      <c r="B29" s="22">
        <v>46099</v>
      </c>
      <c r="C29">
        <v>1932.2</v>
      </c>
      <c r="E29" s="18" t="s">
        <v>29</v>
      </c>
      <c r="F29" s="21">
        <v>2947.9</v>
      </c>
      <c r="G29"/>
    </row>
    <row r="30" spans="2:7" x14ac:dyDescent="0.3">
      <c r="B30" s="22">
        <v>46106</v>
      </c>
      <c r="C30">
        <v>264.5</v>
      </c>
      <c r="E30" s="18" t="s">
        <v>32</v>
      </c>
      <c r="F30" s="21">
        <v>5010</v>
      </c>
      <c r="G30"/>
    </row>
    <row r="31" spans="2:7" x14ac:dyDescent="0.3">
      <c r="B31" s="22">
        <v>46107</v>
      </c>
      <c r="C31">
        <v>639</v>
      </c>
      <c r="E31" s="18" t="s">
        <v>47</v>
      </c>
      <c r="F31" s="21">
        <v>15266.599999999999</v>
      </c>
      <c r="G31"/>
    </row>
    <row r="32" spans="2:7" x14ac:dyDescent="0.3">
      <c r="B32" s="22">
        <v>46110</v>
      </c>
      <c r="C32">
        <v>1371</v>
      </c>
      <c r="G32"/>
    </row>
    <row r="33" spans="2:3" x14ac:dyDescent="0.3">
      <c r="B33" s="22">
        <v>46112</v>
      </c>
      <c r="C33">
        <v>2094.7999999999997</v>
      </c>
    </row>
    <row r="34" spans="2:3" x14ac:dyDescent="0.3">
      <c r="B34" s="18" t="s">
        <v>47</v>
      </c>
      <c r="C34">
        <v>26935</v>
      </c>
    </row>
  </sheetData>
  <mergeCells count="1">
    <mergeCell ref="A1: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D11E-41D6-4153-B3D1-B9E5430EAA1B}">
  <sheetPr>
    <pageSetUpPr fitToPage="1"/>
  </sheetPr>
  <dimension ref="A1:R2"/>
  <sheetViews>
    <sheetView showGridLines="0" tabSelected="1" zoomScale="80" zoomScaleNormal="80" workbookViewId="0">
      <selection activeCell="T11" sqref="T11"/>
    </sheetView>
  </sheetViews>
  <sheetFormatPr defaultRowHeight="14.4" x14ac:dyDescent="0.3"/>
  <sheetData>
    <row r="1" spans="1:18" ht="14.4" customHeight="1" x14ac:dyDescent="0.3">
      <c r="A1" s="25" t="s">
        <v>52</v>
      </c>
      <c r="B1" s="25"/>
      <c r="C1" s="25"/>
      <c r="D1" s="25"/>
      <c r="E1" s="25"/>
      <c r="F1" s="25"/>
      <c r="G1" s="25"/>
      <c r="H1" s="25"/>
      <c r="I1" s="25"/>
      <c r="J1" s="25"/>
      <c r="K1" s="25"/>
      <c r="L1" s="25"/>
      <c r="M1" s="25"/>
      <c r="N1" s="25"/>
      <c r="O1" s="25"/>
      <c r="P1" s="25"/>
      <c r="Q1" s="25"/>
      <c r="R1" s="25"/>
    </row>
    <row r="2" spans="1:18" ht="14.4" customHeight="1" x14ac:dyDescent="0.3">
      <c r="A2" s="25"/>
      <c r="B2" s="25"/>
      <c r="C2" s="25"/>
      <c r="D2" s="25"/>
      <c r="E2" s="25"/>
      <c r="F2" s="25"/>
      <c r="G2" s="25"/>
      <c r="H2" s="25"/>
      <c r="I2" s="25"/>
      <c r="J2" s="25"/>
      <c r="K2" s="25"/>
      <c r="L2" s="25"/>
      <c r="M2" s="25"/>
      <c r="N2" s="25"/>
      <c r="O2" s="25"/>
      <c r="P2" s="25"/>
      <c r="Q2" s="25"/>
      <c r="R2" s="25"/>
    </row>
  </sheetData>
  <mergeCells count="1">
    <mergeCell ref="A1:R2"/>
  </mergeCells>
  <pageMargins left="0.7" right="0.7" top="0.75" bottom="0.75" header="0.3" footer="0.3"/>
  <pageSetup paperSize="9" scale="64" fitToWidth="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CASH FLOW</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Nurain Balqis Nazaruddin</dc:creator>
  <cp:lastModifiedBy>Nurain Balqis Nazaruddin</cp:lastModifiedBy>
  <cp:lastPrinted>2026-05-25T15:10:16Z</cp:lastPrinted>
  <dcterms:created xsi:type="dcterms:W3CDTF">2026-04-24T11:23:55Z</dcterms:created>
  <dcterms:modified xsi:type="dcterms:W3CDTF">2026-05-27T07:05:40Z</dcterms:modified>
</cp:coreProperties>
</file>